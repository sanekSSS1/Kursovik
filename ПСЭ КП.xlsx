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Sinelnikov\Work Folders\Desktop\ВРЕМЕНАЯ\Курсовик\"/>
    </mc:Choice>
  </mc:AlternateContent>
  <xr:revisionPtr revIDLastSave="0" documentId="13_ncr:1_{768A6179-0EB6-447C-B3F9-EE20ED2D1934}" xr6:coauthVersionLast="47" xr6:coauthVersionMax="47" xr10:uidLastSave="{00000000-0000-0000-0000-000000000000}"/>
  <bookViews>
    <workbookView xWindow="-27780" yWindow="5865" windowWidth="25395" windowHeight="15480" xr2:uid="{00000000-000D-0000-FFFF-FFFF00000000}"/>
  </bookViews>
  <sheets>
    <sheet name="ЦЕХ" sheetId="1" r:id="rId1"/>
    <sheet name="СВЕТ" sheetId="2" r:id="rId2"/>
    <sheet name="0,4" sheetId="3" r:id="rId3"/>
    <sheet name="Ф-202-90-0,4" sheetId="4" r:id="rId4"/>
    <sheet name="Защ. аппаратура 0,4кВ" sheetId="5" r:id="rId5"/>
    <sheet name="Потери цех тр-ров" sheetId="6" r:id="rId6"/>
    <sheet name="КАРТОГРАММА" sheetId="7" r:id="rId7"/>
    <sheet name="Ф202-90-10кВ" sheetId="8" r:id="rId8"/>
    <sheet name="ТЭР" sheetId="9" r:id="rId9"/>
    <sheet name="Потери ГПП" sheetId="11" r:id="rId10"/>
    <sheet name="кабели" sheetId="12" r:id="rId11"/>
    <sheet name="КЗ 10 по ТП" sheetId="13" r:id="rId12"/>
    <sheet name="Ток 0,4 кВ" sheetId="14" r:id="rId13"/>
    <sheet name="Выключатели 10" sheetId="15" r:id="rId14"/>
    <sheet name="Шины" sheetId="16" r:id="rId15"/>
  </sheets>
  <externalReferences>
    <externalReference r:id="rId16"/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66" i="5"/>
  <c r="D72" i="5"/>
  <c r="C72" i="5"/>
  <c r="E72" i="5" s="1"/>
  <c r="F72" i="5" s="1"/>
  <c r="G72" i="5" s="1"/>
  <c r="E71" i="5"/>
  <c r="F71" i="5" s="1"/>
  <c r="G71" i="5" s="1"/>
  <c r="E69" i="5"/>
  <c r="F69" i="5" s="1"/>
  <c r="G69" i="5" s="1"/>
  <c r="E68" i="5"/>
  <c r="F68" i="5" s="1"/>
  <c r="G68" i="5" s="1"/>
  <c r="I28" i="2"/>
  <c r="B48" i="13" l="1"/>
  <c r="U18" i="2"/>
  <c r="X19" i="2"/>
  <c r="X18" i="2"/>
  <c r="W18" i="2" l="1"/>
  <c r="V18" i="2"/>
  <c r="P18" i="2"/>
  <c r="D8" i="12"/>
  <c r="C6" i="15" l="1"/>
  <c r="C20" i="15" s="1"/>
  <c r="C5" i="15"/>
  <c r="B13" i="15"/>
  <c r="B27" i="15" s="1"/>
  <c r="D13" i="15"/>
  <c r="D27" i="15" s="1"/>
  <c r="D12" i="15"/>
  <c r="D11" i="15"/>
  <c r="D10" i="15"/>
  <c r="D24" i="15" s="1"/>
  <c r="D9" i="15"/>
  <c r="D8" i="15"/>
  <c r="D22" i="15" s="1"/>
  <c r="D7" i="15"/>
  <c r="D6" i="15"/>
  <c r="D20" i="15" s="1"/>
  <c r="D5" i="15"/>
  <c r="C13" i="15"/>
  <c r="C27" i="15" s="1"/>
  <c r="C12" i="15"/>
  <c r="C11" i="15"/>
  <c r="C25" i="15" s="1"/>
  <c r="C10" i="15"/>
  <c r="C24" i="15" s="1"/>
  <c r="C9" i="15"/>
  <c r="C23" i="15" s="1"/>
  <c r="C8" i="15"/>
  <c r="C22" i="15" s="1"/>
  <c r="C7" i="15"/>
  <c r="C19" i="15"/>
  <c r="D21" i="15"/>
  <c r="D23" i="15"/>
  <c r="D25" i="15"/>
  <c r="D26" i="15"/>
  <c r="D19" i="15"/>
  <c r="C21" i="15"/>
  <c r="C26" i="15"/>
  <c r="B21" i="15"/>
  <c r="B22" i="15"/>
  <c r="B23" i="15"/>
  <c r="B24" i="15"/>
  <c r="B25" i="15"/>
  <c r="B26" i="15"/>
  <c r="K41" i="13" l="1"/>
  <c r="O8" i="16"/>
  <c r="L8" i="16"/>
  <c r="G8" i="16"/>
  <c r="J8" i="16" s="1"/>
  <c r="K8" i="16" s="1"/>
  <c r="M8" i="16" s="1"/>
  <c r="F8" i="16"/>
  <c r="H8" i="16" s="1"/>
  <c r="I8" i="16" s="1"/>
  <c r="O7" i="16"/>
  <c r="L7" i="16"/>
  <c r="G7" i="16"/>
  <c r="J7" i="16" s="1"/>
  <c r="K7" i="16" s="1"/>
  <c r="M7" i="16" s="1"/>
  <c r="F7" i="16"/>
  <c r="H7" i="16" s="1"/>
  <c r="I7" i="16" s="1"/>
  <c r="B7" i="16"/>
  <c r="C7" i="16" s="1"/>
  <c r="D7" i="16" s="1"/>
  <c r="O6" i="16"/>
  <c r="L6" i="16"/>
  <c r="G6" i="16"/>
  <c r="J6" i="16" s="1"/>
  <c r="K6" i="16" s="1"/>
  <c r="M6" i="16" s="1"/>
  <c r="F6" i="16"/>
  <c r="H6" i="16" s="1"/>
  <c r="I6" i="16" s="1"/>
  <c r="B6" i="16"/>
  <c r="C6" i="16" s="1"/>
  <c r="D6" i="16" s="1"/>
  <c r="O5" i="16"/>
  <c r="L5" i="16"/>
  <c r="G5" i="16"/>
  <c r="J5" i="16" s="1"/>
  <c r="K5" i="16" s="1"/>
  <c r="M5" i="16" s="1"/>
  <c r="F5" i="16"/>
  <c r="H5" i="16" s="1"/>
  <c r="I5" i="16" s="1"/>
  <c r="B5" i="16"/>
  <c r="C5" i="16" s="1"/>
  <c r="D5" i="16" s="1"/>
  <c r="O4" i="16"/>
  <c r="L4" i="16"/>
  <c r="G4" i="16"/>
  <c r="J4" i="16" s="1"/>
  <c r="K4" i="16" s="1"/>
  <c r="M4" i="16" s="1"/>
  <c r="F4" i="16"/>
  <c r="H4" i="16" s="1"/>
  <c r="I4" i="16" s="1"/>
  <c r="B4" i="16"/>
  <c r="C4" i="16" s="1"/>
  <c r="D4" i="16" s="1"/>
  <c r="I13" i="15" l="1"/>
  <c r="I12" i="15"/>
  <c r="B12" i="15"/>
  <c r="I11" i="15"/>
  <c r="B11" i="15"/>
  <c r="I10" i="15"/>
  <c r="B10" i="15"/>
  <c r="I9" i="15"/>
  <c r="B9" i="15"/>
  <c r="I8" i="15"/>
  <c r="B8" i="15"/>
  <c r="I7" i="15"/>
  <c r="B7" i="15"/>
  <c r="I6" i="15"/>
  <c r="I5" i="15"/>
  <c r="K42" i="13" l="1"/>
  <c r="D61" i="9"/>
  <c r="C95" i="9"/>
  <c r="E95" i="9"/>
  <c r="D68" i="9"/>
  <c r="F63" i="9"/>
  <c r="C104" i="9"/>
  <c r="C85" i="9"/>
  <c r="E85" i="9" s="1"/>
  <c r="E104" i="9"/>
  <c r="D62" i="9"/>
  <c r="F62" i="9"/>
  <c r="C103" i="9"/>
  <c r="C102" i="9"/>
  <c r="C101" i="9"/>
  <c r="C100" i="9"/>
  <c r="C99" i="9"/>
  <c r="C98" i="9"/>
  <c r="C97" i="9"/>
  <c r="C96" i="9"/>
  <c r="F60" i="9"/>
  <c r="F59" i="9"/>
  <c r="F58" i="9"/>
  <c r="F57" i="9"/>
  <c r="F61" i="9"/>
  <c r="F56" i="9"/>
  <c r="F55" i="9"/>
  <c r="F51" i="9"/>
  <c r="V7" i="13"/>
  <c r="V6" i="13"/>
  <c r="V5" i="13"/>
  <c r="V4" i="13"/>
  <c r="U10" i="13"/>
  <c r="U9" i="13"/>
  <c r="U8" i="13"/>
  <c r="U7" i="13"/>
  <c r="U6" i="13"/>
  <c r="U5" i="13"/>
  <c r="U4" i="13"/>
  <c r="F36" i="13" l="1"/>
  <c r="O24" i="13"/>
  <c r="N24" i="13"/>
  <c r="J24" i="13"/>
  <c r="H24" i="13"/>
  <c r="G24" i="13"/>
  <c r="P49" i="13"/>
  <c r="N49" i="13"/>
  <c r="G10" i="12" l="1"/>
  <c r="G9" i="12"/>
  <c r="H35" i="13"/>
  <c r="F32" i="13" l="1"/>
  <c r="B50" i="13" l="1"/>
  <c r="B52" i="13"/>
  <c r="M23" i="16"/>
  <c r="L23" i="16"/>
  <c r="L21" i="16"/>
  <c r="J20" i="16"/>
  <c r="K20" i="16" s="1"/>
  <c r="K19" i="16"/>
  <c r="N16" i="16"/>
  <c r="O16" i="16" s="1"/>
  <c r="T8" i="14"/>
  <c r="G6" i="14" s="1"/>
  <c r="I6" i="14" s="1"/>
  <c r="G8" i="14"/>
  <c r="I8" i="14" s="1"/>
  <c r="T7" i="14"/>
  <c r="P48" i="13"/>
  <c r="N48" i="13"/>
  <c r="F45" i="13"/>
  <c r="F44" i="13"/>
  <c r="F43" i="13"/>
  <c r="H42" i="13"/>
  <c r="F42" i="13"/>
  <c r="D42" i="13"/>
  <c r="H41" i="13"/>
  <c r="F41" i="13"/>
  <c r="D41" i="13"/>
  <c r="D40" i="13"/>
  <c r="L38" i="13"/>
  <c r="N38" i="13" s="1"/>
  <c r="F38" i="13"/>
  <c r="B45" i="13" s="1"/>
  <c r="L37" i="13"/>
  <c r="N37" i="13" s="1"/>
  <c r="H37" i="13"/>
  <c r="F37" i="13"/>
  <c r="H36" i="13"/>
  <c r="N40" i="13"/>
  <c r="F35" i="13"/>
  <c r="F33" i="13"/>
  <c r="E23" i="13"/>
  <c r="S19" i="13"/>
  <c r="N18" i="13"/>
  <c r="L18" i="13"/>
  <c r="N17" i="13"/>
  <c r="L17" i="13"/>
  <c r="E17" i="13"/>
  <c r="T16" i="13"/>
  <c r="T17" i="13" s="1"/>
  <c r="E16" i="13"/>
  <c r="U15" i="13"/>
  <c r="T15" i="13"/>
  <c r="G15" i="13"/>
  <c r="E15" i="13"/>
  <c r="E13" i="13"/>
  <c r="G12" i="13"/>
  <c r="G11" i="13"/>
  <c r="E14" i="13" s="1"/>
  <c r="H10" i="13"/>
  <c r="G10" i="13"/>
  <c r="H9" i="13"/>
  <c r="G9" i="13"/>
  <c r="H8" i="13"/>
  <c r="G8" i="13"/>
  <c r="H7" i="13"/>
  <c r="J7" i="13" s="1"/>
  <c r="C9" i="14" s="1"/>
  <c r="E9" i="14" s="1"/>
  <c r="G7" i="13"/>
  <c r="H6" i="13"/>
  <c r="J6" i="13" s="1"/>
  <c r="C8" i="14" s="1"/>
  <c r="E8" i="14" s="1"/>
  <c r="G6" i="13"/>
  <c r="H5" i="13"/>
  <c r="J5" i="13" s="1"/>
  <c r="C7" i="14" s="1"/>
  <c r="E7" i="14" s="1"/>
  <c r="G5" i="13"/>
  <c r="H4" i="13"/>
  <c r="J4" i="13" s="1"/>
  <c r="C6" i="14" s="1"/>
  <c r="E6" i="14" s="1"/>
  <c r="K6" i="14" s="1"/>
  <c r="G4" i="13"/>
  <c r="I39" i="12"/>
  <c r="J38" i="12"/>
  <c r="I38" i="12"/>
  <c r="G37" i="12"/>
  <c r="H37" i="12" s="1"/>
  <c r="G36" i="12"/>
  <c r="H36" i="12" s="1"/>
  <c r="D36" i="12"/>
  <c r="I34" i="12"/>
  <c r="I35" i="12" s="1"/>
  <c r="I36" i="12" s="1"/>
  <c r="J33" i="12"/>
  <c r="K33" i="12" s="1"/>
  <c r="L33" i="12" s="1"/>
  <c r="I33" i="12"/>
  <c r="D33" i="12"/>
  <c r="H32" i="12"/>
  <c r="L29" i="12"/>
  <c r="H29" i="12"/>
  <c r="D29" i="12"/>
  <c r="G29" i="12" s="1"/>
  <c r="F10" i="12"/>
  <c r="D10" i="12"/>
  <c r="F9" i="12"/>
  <c r="D9" i="12"/>
  <c r="L4" i="12"/>
  <c r="I22" i="11"/>
  <c r="H22" i="11"/>
  <c r="I21" i="11"/>
  <c r="H21" i="11"/>
  <c r="E103" i="9"/>
  <c r="E102" i="9"/>
  <c r="E101" i="9"/>
  <c r="E100" i="9"/>
  <c r="E99" i="9"/>
  <c r="E98" i="9"/>
  <c r="E97" i="9"/>
  <c r="E96" i="9"/>
  <c r="C84" i="9"/>
  <c r="E84" i="9" s="1"/>
  <c r="C83" i="9"/>
  <c r="E83" i="9" s="1"/>
  <c r="C82" i="9"/>
  <c r="E82" i="9" s="1"/>
  <c r="C81" i="9"/>
  <c r="E81" i="9" s="1"/>
  <c r="C80" i="9"/>
  <c r="E80" i="9" s="1"/>
  <c r="C79" i="9"/>
  <c r="E79" i="9" s="1"/>
  <c r="C78" i="9"/>
  <c r="E78" i="9" s="1"/>
  <c r="C77" i="9"/>
  <c r="E77" i="9" s="1"/>
  <c r="E86" i="9" s="1"/>
  <c r="B71" i="9"/>
  <c r="F67" i="9"/>
  <c r="D66" i="9"/>
  <c r="F54" i="9"/>
  <c r="D54" i="9"/>
  <c r="D53" i="9"/>
  <c r="D52" i="9"/>
  <c r="D51" i="9"/>
  <c r="D50" i="9"/>
  <c r="D49" i="9"/>
  <c r="D48" i="9"/>
  <c r="D47" i="9"/>
  <c r="F46" i="9"/>
  <c r="D46" i="9"/>
  <c r="C40" i="9"/>
  <c r="D40" i="9" s="1"/>
  <c r="C39" i="9"/>
  <c r="D39" i="9" s="1"/>
  <c r="C38" i="9"/>
  <c r="F37" i="9"/>
  <c r="C37" i="9"/>
  <c r="D37" i="9" s="1"/>
  <c r="O36" i="9"/>
  <c r="N35" i="9"/>
  <c r="O38" i="9" s="1"/>
  <c r="Q38" i="9" s="1"/>
  <c r="N34" i="9"/>
  <c r="C29" i="9"/>
  <c r="F29" i="9" s="1"/>
  <c r="G29" i="9" s="1"/>
  <c r="H30" i="9" s="1"/>
  <c r="C32" i="9" s="1"/>
  <c r="C28" i="9"/>
  <c r="F28" i="9" s="1"/>
  <c r="G28" i="9" s="1"/>
  <c r="H29" i="9" s="1"/>
  <c r="O14" i="9"/>
  <c r="L14" i="9"/>
  <c r="M14" i="9" s="1"/>
  <c r="K12" i="9"/>
  <c r="O12" i="9" s="1"/>
  <c r="O11" i="9"/>
  <c r="M11" i="9"/>
  <c r="G9" i="9"/>
  <c r="E9" i="9"/>
  <c r="G8" i="9"/>
  <c r="E7" i="9"/>
  <c r="G6" i="9"/>
  <c r="E5" i="9"/>
  <c r="L4" i="9"/>
  <c r="K4" i="9"/>
  <c r="D36" i="8"/>
  <c r="C36" i="8"/>
  <c r="D35" i="8"/>
  <c r="C35" i="8"/>
  <c r="D34" i="8"/>
  <c r="C34" i="8"/>
  <c r="D33" i="8"/>
  <c r="C33" i="8"/>
  <c r="C15" i="8"/>
  <c r="C17" i="8" s="1"/>
  <c r="J8" i="8"/>
  <c r="M20" i="7"/>
  <c r="J14" i="6"/>
  <c r="J13" i="6"/>
  <c r="C66" i="5"/>
  <c r="E66" i="5" s="1"/>
  <c r="F66" i="5" s="1"/>
  <c r="G66" i="5" s="1"/>
  <c r="E65" i="5"/>
  <c r="F65" i="5" s="1"/>
  <c r="G65" i="5" s="1"/>
  <c r="E64" i="5"/>
  <c r="F64" i="5" s="1"/>
  <c r="G64" i="5" s="1"/>
  <c r="E70" i="5"/>
  <c r="F70" i="5" s="1"/>
  <c r="G70" i="5" s="1"/>
  <c r="D62" i="5"/>
  <c r="E62" i="5" s="1"/>
  <c r="F62" i="5" s="1"/>
  <c r="G62" i="5" s="1"/>
  <c r="C62" i="5"/>
  <c r="G61" i="5"/>
  <c r="F61" i="5"/>
  <c r="E61" i="5"/>
  <c r="E60" i="5"/>
  <c r="F60" i="5" s="1"/>
  <c r="G60" i="5" s="1"/>
  <c r="E59" i="5"/>
  <c r="F59" i="5" s="1"/>
  <c r="G59" i="5" s="1"/>
  <c r="C54" i="5"/>
  <c r="C51" i="5"/>
  <c r="C48" i="5"/>
  <c r="C42" i="5"/>
  <c r="C40" i="5"/>
  <c r="C39" i="5"/>
  <c r="C37" i="5"/>
  <c r="K33" i="5"/>
  <c r="J33" i="5"/>
  <c r="C55" i="5" s="1"/>
  <c r="I33" i="5"/>
  <c r="H33" i="5"/>
  <c r="J32" i="5"/>
  <c r="I32" i="5"/>
  <c r="K32" i="5" s="1"/>
  <c r="H32" i="5"/>
  <c r="J31" i="5"/>
  <c r="C53" i="5" s="1"/>
  <c r="H31" i="5"/>
  <c r="I31" i="5" s="1"/>
  <c r="K31" i="5" s="1"/>
  <c r="K30" i="5"/>
  <c r="J30" i="5"/>
  <c r="C52" i="5" s="1"/>
  <c r="I30" i="5"/>
  <c r="H30" i="5"/>
  <c r="J29" i="5"/>
  <c r="I29" i="5"/>
  <c r="K29" i="5" s="1"/>
  <c r="H29" i="5"/>
  <c r="K28" i="5"/>
  <c r="H28" i="5"/>
  <c r="I28" i="5" s="1"/>
  <c r="K27" i="5"/>
  <c r="J27" i="5"/>
  <c r="C49" i="5" s="1"/>
  <c r="I27" i="5"/>
  <c r="H27" i="5"/>
  <c r="J26" i="5"/>
  <c r="I26" i="5"/>
  <c r="K26" i="5" s="1"/>
  <c r="H26" i="5"/>
  <c r="K25" i="5"/>
  <c r="J25" i="5"/>
  <c r="C47" i="5" s="1"/>
  <c r="H25" i="5"/>
  <c r="I25" i="5" s="1"/>
  <c r="K24" i="5"/>
  <c r="J24" i="5"/>
  <c r="C46" i="5" s="1"/>
  <c r="I24" i="5"/>
  <c r="H24" i="5"/>
  <c r="J23" i="5"/>
  <c r="C45" i="5" s="1"/>
  <c r="I23" i="5"/>
  <c r="K23" i="5" s="1"/>
  <c r="H23" i="5"/>
  <c r="H22" i="5"/>
  <c r="K21" i="5"/>
  <c r="J21" i="5"/>
  <c r="C43" i="5" s="1"/>
  <c r="I21" i="5"/>
  <c r="H21" i="5"/>
  <c r="J20" i="5"/>
  <c r="I20" i="5"/>
  <c r="K20" i="5" s="1"/>
  <c r="H20" i="5"/>
  <c r="H19" i="5"/>
  <c r="I19" i="5" s="1"/>
  <c r="K19" i="5" s="1"/>
  <c r="K18" i="5"/>
  <c r="J18" i="5"/>
  <c r="I18" i="5"/>
  <c r="H18" i="5"/>
  <c r="J17" i="5"/>
  <c r="I17" i="5"/>
  <c r="K17" i="5" s="1"/>
  <c r="H17" i="5"/>
  <c r="H16" i="5"/>
  <c r="I16" i="5" s="1"/>
  <c r="K16" i="5" s="1"/>
  <c r="K15" i="5"/>
  <c r="J15" i="5"/>
  <c r="I15" i="5"/>
  <c r="H15" i="5"/>
  <c r="J11" i="5"/>
  <c r="K11" i="5" s="1"/>
  <c r="K10" i="5"/>
  <c r="J10" i="5"/>
  <c r="J9" i="5"/>
  <c r="K9" i="5" s="1"/>
  <c r="K8" i="5"/>
  <c r="J8" i="5"/>
  <c r="J7" i="5"/>
  <c r="K7" i="5" s="1"/>
  <c r="K6" i="5"/>
  <c r="J6" i="5"/>
  <c r="K5" i="5"/>
  <c r="J5" i="5"/>
  <c r="K4" i="5"/>
  <c r="J4" i="5"/>
  <c r="P44" i="4"/>
  <c r="H87" i="3"/>
  <c r="E87" i="3"/>
  <c r="I87" i="3" s="1"/>
  <c r="M87" i="3" s="1"/>
  <c r="M84" i="3"/>
  <c r="C32" i="8" s="1"/>
  <c r="I84" i="3"/>
  <c r="H84" i="3"/>
  <c r="J84" i="3" s="1"/>
  <c r="N84" i="3" s="1"/>
  <c r="E84" i="3"/>
  <c r="H81" i="3"/>
  <c r="E81" i="3"/>
  <c r="K81" i="3" s="1"/>
  <c r="B69" i="3"/>
  <c r="N67" i="3"/>
  <c r="M67" i="3"/>
  <c r="O67" i="3" s="1"/>
  <c r="K67" i="3"/>
  <c r="J67" i="3"/>
  <c r="I67" i="3"/>
  <c r="H67" i="3"/>
  <c r="B65" i="3"/>
  <c r="K63" i="3"/>
  <c r="I63" i="3"/>
  <c r="H63" i="3"/>
  <c r="B61" i="3"/>
  <c r="M59" i="3"/>
  <c r="K59" i="3"/>
  <c r="I59" i="3"/>
  <c r="H59" i="3"/>
  <c r="B57" i="3"/>
  <c r="K55" i="3"/>
  <c r="I55" i="3"/>
  <c r="H55" i="3"/>
  <c r="B53" i="3"/>
  <c r="K51" i="3"/>
  <c r="J51" i="3"/>
  <c r="I51" i="3"/>
  <c r="H51" i="3"/>
  <c r="B48" i="3"/>
  <c r="K46" i="3"/>
  <c r="I46" i="3"/>
  <c r="H46" i="3"/>
  <c r="B44" i="3"/>
  <c r="M42" i="3"/>
  <c r="K42" i="3"/>
  <c r="I42" i="3"/>
  <c r="H42" i="3"/>
  <c r="B40" i="3"/>
  <c r="M38" i="3"/>
  <c r="K38" i="3"/>
  <c r="I38" i="3"/>
  <c r="H38" i="3"/>
  <c r="B36" i="3"/>
  <c r="M34" i="3"/>
  <c r="K34" i="3"/>
  <c r="I34" i="3"/>
  <c r="H34" i="3"/>
  <c r="B32" i="3"/>
  <c r="M30" i="3"/>
  <c r="K30" i="3"/>
  <c r="I30" i="3"/>
  <c r="H30" i="3"/>
  <c r="B28" i="3"/>
  <c r="K26" i="3"/>
  <c r="I26" i="3"/>
  <c r="H26" i="3"/>
  <c r="D24" i="3"/>
  <c r="C24" i="3"/>
  <c r="B24" i="3"/>
  <c r="N21" i="3"/>
  <c r="K21" i="3"/>
  <c r="J21" i="3"/>
  <c r="I21" i="3"/>
  <c r="M21" i="3" s="1"/>
  <c r="H21" i="3"/>
  <c r="B19" i="3"/>
  <c r="W18" i="3"/>
  <c r="K17" i="3"/>
  <c r="I17" i="3"/>
  <c r="J17" i="3" s="1"/>
  <c r="H17" i="3"/>
  <c r="D15" i="3"/>
  <c r="C15" i="3"/>
  <c r="B15" i="3"/>
  <c r="K13" i="3"/>
  <c r="I13" i="3"/>
  <c r="H13" i="3"/>
  <c r="D11" i="3"/>
  <c r="C11" i="3"/>
  <c r="B11" i="3"/>
  <c r="M9" i="3"/>
  <c r="K9" i="3"/>
  <c r="I9" i="3"/>
  <c r="J9" i="3" s="1"/>
  <c r="N9" i="3" s="1"/>
  <c r="H9" i="3"/>
  <c r="P21" i="2"/>
  <c r="S21" i="2" s="1"/>
  <c r="T21" i="2" s="1"/>
  <c r="V21" i="2" s="1"/>
  <c r="I21" i="2"/>
  <c r="P20" i="2"/>
  <c r="S20" i="2" s="1"/>
  <c r="T20" i="2" s="1"/>
  <c r="I20" i="2"/>
  <c r="T19" i="2"/>
  <c r="W19" i="2" s="1"/>
  <c r="S19" i="2"/>
  <c r="P19" i="2"/>
  <c r="I19" i="2"/>
  <c r="S18" i="2"/>
  <c r="T18" i="2" s="1"/>
  <c r="I18" i="2"/>
  <c r="S17" i="2"/>
  <c r="T17" i="2" s="1"/>
  <c r="W17" i="2" s="1"/>
  <c r="P17" i="2"/>
  <c r="I17" i="2"/>
  <c r="P16" i="2"/>
  <c r="S16" i="2" s="1"/>
  <c r="T16" i="2" s="1"/>
  <c r="I16" i="2"/>
  <c r="P15" i="2"/>
  <c r="S15" i="2" s="1"/>
  <c r="T15" i="2" s="1"/>
  <c r="I15" i="2"/>
  <c r="P14" i="2"/>
  <c r="S14" i="2" s="1"/>
  <c r="T14" i="2" s="1"/>
  <c r="V14" i="2" s="1"/>
  <c r="I14" i="2"/>
  <c r="W13" i="2"/>
  <c r="V13" i="2"/>
  <c r="X13" i="2" s="1"/>
  <c r="O13" i="2" s="1"/>
  <c r="U13" i="2"/>
  <c r="Q13" i="2" s="1"/>
  <c r="H13" i="2" s="1"/>
  <c r="L13" i="2" s="1"/>
  <c r="T13" i="2"/>
  <c r="S13" i="2"/>
  <c r="P13" i="2"/>
  <c r="I13" i="2"/>
  <c r="T12" i="2"/>
  <c r="S12" i="2"/>
  <c r="P12" i="2"/>
  <c r="I12" i="2"/>
  <c r="S11" i="2"/>
  <c r="T11" i="2" s="1"/>
  <c r="P11" i="2"/>
  <c r="W10" i="2"/>
  <c r="V10" i="2"/>
  <c r="X10" i="2" s="1"/>
  <c r="O10" i="2" s="1"/>
  <c r="U10" i="2"/>
  <c r="Q10" i="2" s="1"/>
  <c r="H10" i="2" s="1"/>
  <c r="L10" i="2" s="1"/>
  <c r="T10" i="2"/>
  <c r="P10" i="2"/>
  <c r="S10" i="2" s="1"/>
  <c r="I10" i="2"/>
  <c r="S9" i="2"/>
  <c r="T9" i="2" s="1"/>
  <c r="W9" i="2" s="1"/>
  <c r="P9" i="2"/>
  <c r="I9" i="2"/>
  <c r="V8" i="2"/>
  <c r="U8" i="2" s="1"/>
  <c r="P8" i="2"/>
  <c r="S8" i="2" s="1"/>
  <c r="T8" i="2" s="1"/>
  <c r="W8" i="2" s="1"/>
  <c r="I8" i="2"/>
  <c r="X7" i="2"/>
  <c r="O7" i="2" s="1"/>
  <c r="W7" i="2"/>
  <c r="P7" i="2"/>
  <c r="S7" i="2" s="1"/>
  <c r="T7" i="2" s="1"/>
  <c r="V7" i="2" s="1"/>
  <c r="I7" i="2"/>
  <c r="P6" i="2"/>
  <c r="S6" i="2" s="1"/>
  <c r="T6" i="2" s="1"/>
  <c r="I6" i="2"/>
  <c r="S5" i="2"/>
  <c r="T5" i="2" s="1"/>
  <c r="P5" i="2"/>
  <c r="I5" i="2"/>
  <c r="P4" i="2"/>
  <c r="S4" i="2" s="1"/>
  <c r="T4" i="2" s="1"/>
  <c r="I4" i="2"/>
  <c r="C38" i="1"/>
  <c r="B38" i="1"/>
  <c r="J37" i="1"/>
  <c r="G37" i="1"/>
  <c r="D37" i="1"/>
  <c r="H37" i="1" s="1"/>
  <c r="J36" i="1"/>
  <c r="G36" i="1"/>
  <c r="D36" i="1"/>
  <c r="H36" i="1" s="1"/>
  <c r="C34" i="1"/>
  <c r="B34" i="1"/>
  <c r="J33" i="1"/>
  <c r="G33" i="1"/>
  <c r="D33" i="1"/>
  <c r="H33" i="1" s="1"/>
  <c r="I33" i="1" s="1"/>
  <c r="J32" i="1"/>
  <c r="G32" i="1"/>
  <c r="D32" i="1"/>
  <c r="H32" i="1" s="1"/>
  <c r="I32" i="1" s="1"/>
  <c r="J31" i="1"/>
  <c r="G31" i="1"/>
  <c r="D31" i="1"/>
  <c r="H31" i="1" s="1"/>
  <c r="I31" i="1" s="1"/>
  <c r="J30" i="1"/>
  <c r="G30" i="1"/>
  <c r="D30" i="1"/>
  <c r="J29" i="1"/>
  <c r="G29" i="1"/>
  <c r="D29" i="1"/>
  <c r="H29" i="1" s="1"/>
  <c r="I29" i="1" s="1"/>
  <c r="C27" i="1"/>
  <c r="B27" i="1"/>
  <c r="J26" i="1"/>
  <c r="G26" i="1"/>
  <c r="D26" i="1"/>
  <c r="H26" i="1" s="1"/>
  <c r="I26" i="1" s="1"/>
  <c r="J25" i="1"/>
  <c r="G25" i="1"/>
  <c r="D25" i="1"/>
  <c r="H25" i="1" s="1"/>
  <c r="I25" i="1" s="1"/>
  <c r="J24" i="1"/>
  <c r="G24" i="1"/>
  <c r="D24" i="1"/>
  <c r="C22" i="1"/>
  <c r="B22" i="1"/>
  <c r="J21" i="1"/>
  <c r="G21" i="1"/>
  <c r="D21" i="1"/>
  <c r="H21" i="1" s="1"/>
  <c r="I21" i="1" s="1"/>
  <c r="J20" i="1"/>
  <c r="G20" i="1"/>
  <c r="D20" i="1"/>
  <c r="H20" i="1" s="1"/>
  <c r="C18" i="1"/>
  <c r="B18" i="1"/>
  <c r="J17" i="1"/>
  <c r="G17" i="1"/>
  <c r="D17" i="1"/>
  <c r="H17" i="1" s="1"/>
  <c r="I17" i="1" s="1"/>
  <c r="J16" i="1"/>
  <c r="G16" i="1"/>
  <c r="D16" i="1"/>
  <c r="H16" i="1" s="1"/>
  <c r="I16" i="1" s="1"/>
  <c r="J15" i="1"/>
  <c r="G15" i="1"/>
  <c r="D15" i="1"/>
  <c r="H15" i="1" s="1"/>
  <c r="I15" i="1" s="1"/>
  <c r="J14" i="1"/>
  <c r="J18" i="1" s="1"/>
  <c r="G14" i="1"/>
  <c r="D14" i="1"/>
  <c r="J11" i="1"/>
  <c r="G11" i="1"/>
  <c r="D11" i="1"/>
  <c r="H11" i="1" s="1"/>
  <c r="I11" i="1" s="1"/>
  <c r="J10" i="1"/>
  <c r="G10" i="1"/>
  <c r="D10" i="1"/>
  <c r="H10" i="1" s="1"/>
  <c r="I10" i="1" s="1"/>
  <c r="J9" i="1"/>
  <c r="G9" i="1"/>
  <c r="D9" i="1"/>
  <c r="J34" i="1" l="1"/>
  <c r="J27" i="1"/>
  <c r="D22" i="1"/>
  <c r="D18" i="1"/>
  <c r="K18" i="1" s="1"/>
  <c r="J12" i="1"/>
  <c r="H14" i="1"/>
  <c r="H18" i="1" s="1"/>
  <c r="I36" i="1"/>
  <c r="H38" i="1"/>
  <c r="I37" i="1"/>
  <c r="I38" i="1" s="1"/>
  <c r="G38" i="1" s="1"/>
  <c r="F38" i="1" s="1"/>
  <c r="J38" i="1"/>
  <c r="F68" i="9"/>
  <c r="C72" i="9" s="1"/>
  <c r="E105" i="9"/>
  <c r="E10" i="9"/>
  <c r="K8" i="9" s="1"/>
  <c r="G10" i="9"/>
  <c r="K9" i="9" s="1"/>
  <c r="P36" i="9"/>
  <c r="Q36" i="9" s="1"/>
  <c r="Q39" i="9" s="1"/>
  <c r="O15" i="9"/>
  <c r="M12" i="9"/>
  <c r="B51" i="13"/>
  <c r="B24" i="13"/>
  <c r="I24" i="13" s="1"/>
  <c r="K24" i="13" s="1"/>
  <c r="C10" i="13"/>
  <c r="J10" i="13" s="1"/>
  <c r="C8" i="13"/>
  <c r="J8" i="13" s="1"/>
  <c r="C9" i="13"/>
  <c r="J9" i="13" s="1"/>
  <c r="L24" i="13"/>
  <c r="M24" i="13" s="1"/>
  <c r="G17" i="13"/>
  <c r="F39" i="13"/>
  <c r="D48" i="13" s="1"/>
  <c r="D50" i="13" s="1"/>
  <c r="K43" i="13"/>
  <c r="L52" i="13" s="1"/>
  <c r="J37" i="13"/>
  <c r="H52" i="13" s="1"/>
  <c r="K8" i="14"/>
  <c r="G7" i="14"/>
  <c r="I7" i="14" s="1"/>
  <c r="K7" i="14" s="1"/>
  <c r="T9" i="14"/>
  <c r="F8" i="14" s="1"/>
  <c r="H8" i="14" s="1"/>
  <c r="G9" i="14"/>
  <c r="I9" i="14" s="1"/>
  <c r="K9" i="14" s="1"/>
  <c r="B49" i="13"/>
  <c r="J11" i="13"/>
  <c r="J14" i="13" s="1"/>
  <c r="B44" i="13"/>
  <c r="B8" i="13" s="1"/>
  <c r="I8" i="13" s="1"/>
  <c r="W20" i="2"/>
  <c r="V20" i="2"/>
  <c r="E35" i="3"/>
  <c r="E36" i="3" s="1"/>
  <c r="M10" i="2"/>
  <c r="W12" i="2"/>
  <c r="V12" i="2"/>
  <c r="N17" i="3"/>
  <c r="W21" i="2"/>
  <c r="U21" i="2" s="1"/>
  <c r="Q21" i="2" s="1"/>
  <c r="H21" i="2" s="1"/>
  <c r="L21" i="2" s="1"/>
  <c r="M21" i="2" s="1"/>
  <c r="N21" i="2" s="1"/>
  <c r="M38" i="1"/>
  <c r="M13" i="3"/>
  <c r="J26" i="3"/>
  <c r="M26" i="3"/>
  <c r="W16" i="2"/>
  <c r="V16" i="2"/>
  <c r="W6" i="2"/>
  <c r="V6" i="2"/>
  <c r="U6" i="2" s="1"/>
  <c r="W5" i="2"/>
  <c r="V5" i="2"/>
  <c r="J13" i="3"/>
  <c r="E47" i="3"/>
  <c r="E48" i="3" s="1"/>
  <c r="M13" i="2"/>
  <c r="V11" i="2"/>
  <c r="W11" i="2"/>
  <c r="V15" i="2"/>
  <c r="W15" i="2"/>
  <c r="W4" i="2"/>
  <c r="V4" i="2"/>
  <c r="U4" i="2" s="1"/>
  <c r="D32" i="8"/>
  <c r="D37" i="8" s="1"/>
  <c r="D9" i="8"/>
  <c r="O84" i="3"/>
  <c r="D5" i="11"/>
  <c r="D6" i="11" s="1"/>
  <c r="C18" i="8"/>
  <c r="D27" i="1"/>
  <c r="H24" i="1"/>
  <c r="I22" i="5"/>
  <c r="K22" i="5" s="1"/>
  <c r="J22" i="5"/>
  <c r="C44" i="5" s="1"/>
  <c r="W14" i="2"/>
  <c r="X14" i="2" s="1"/>
  <c r="O14" i="2" s="1"/>
  <c r="V17" i="2"/>
  <c r="D34" i="1"/>
  <c r="J42" i="3"/>
  <c r="M63" i="3"/>
  <c r="J16" i="5"/>
  <c r="C38" i="5" s="1"/>
  <c r="I25" i="2"/>
  <c r="J19" i="5"/>
  <c r="C41" i="5" s="1"/>
  <c r="J52" i="13"/>
  <c r="B40" i="13"/>
  <c r="B4" i="13" s="1"/>
  <c r="I4" i="13" s="1"/>
  <c r="V9" i="2"/>
  <c r="V19" i="2"/>
  <c r="J63" i="3"/>
  <c r="J87" i="3"/>
  <c r="N87" i="3" s="1"/>
  <c r="D7" i="8" s="1"/>
  <c r="B39" i="1"/>
  <c r="Q8" i="2"/>
  <c r="H8" i="2" s="1"/>
  <c r="L8" i="2" s="1"/>
  <c r="D12" i="1"/>
  <c r="H9" i="1"/>
  <c r="H22" i="1"/>
  <c r="I20" i="1"/>
  <c r="I22" i="1" s="1"/>
  <c r="H30" i="1"/>
  <c r="C39" i="1"/>
  <c r="X8" i="2"/>
  <c r="O8" i="2" s="1"/>
  <c r="O9" i="3"/>
  <c r="M55" i="3"/>
  <c r="J59" i="3"/>
  <c r="O87" i="3"/>
  <c r="I14" i="1"/>
  <c r="I18" i="1" s="1"/>
  <c r="M17" i="3"/>
  <c r="J22" i="1"/>
  <c r="D38" i="1"/>
  <c r="U7" i="2"/>
  <c r="Q7" i="2" s="1"/>
  <c r="H7" i="2" s="1"/>
  <c r="L7" i="2" s="1"/>
  <c r="O21" i="3"/>
  <c r="N51" i="3"/>
  <c r="J55" i="3"/>
  <c r="I81" i="3"/>
  <c r="J30" i="3"/>
  <c r="J38" i="3"/>
  <c r="M46" i="3"/>
  <c r="J46" i="3"/>
  <c r="M15" i="9"/>
  <c r="J80" i="9"/>
  <c r="E20" i="13"/>
  <c r="P22" i="13"/>
  <c r="E21" i="13"/>
  <c r="P18" i="13"/>
  <c r="N15" i="13"/>
  <c r="J15" i="13"/>
  <c r="B41" i="13"/>
  <c r="B5" i="13" s="1"/>
  <c r="I5" i="13" s="1"/>
  <c r="B43" i="13"/>
  <c r="B7" i="13" s="1"/>
  <c r="I7" i="13" s="1"/>
  <c r="N39" i="13"/>
  <c r="N41" i="13" s="1"/>
  <c r="J48" i="13" s="1"/>
  <c r="F40" i="13"/>
  <c r="F52" i="13" s="1"/>
  <c r="C37" i="8"/>
  <c r="M51" i="3"/>
  <c r="J28" i="5"/>
  <c r="C50" i="5" s="1"/>
  <c r="J78" i="9"/>
  <c r="B42" i="13"/>
  <c r="B6" i="13" s="1"/>
  <c r="I6" i="13" s="1"/>
  <c r="B10" i="13"/>
  <c r="I10" i="13" s="1"/>
  <c r="J34" i="3"/>
  <c r="G8" i="12"/>
  <c r="D37" i="12"/>
  <c r="F8" i="12"/>
  <c r="L16" i="13"/>
  <c r="L15" i="13"/>
  <c r="N16" i="13"/>
  <c r="K34" i="1" l="1"/>
  <c r="J39" i="1"/>
  <c r="K27" i="1"/>
  <c r="G22" i="1"/>
  <c r="F22" i="1" s="1"/>
  <c r="N18" i="1"/>
  <c r="K38" i="1"/>
  <c r="N38" i="1"/>
  <c r="D34" i="9"/>
  <c r="N8" i="13"/>
  <c r="C110" i="9"/>
  <c r="L48" i="13"/>
  <c r="L50" i="13" s="1"/>
  <c r="D52" i="13"/>
  <c r="P9" i="13"/>
  <c r="J12" i="13"/>
  <c r="J13" i="13"/>
  <c r="F9" i="14"/>
  <c r="H9" i="14" s="1"/>
  <c r="F7" i="14"/>
  <c r="H7" i="14" s="1"/>
  <c r="F6" i="14"/>
  <c r="H6" i="14" s="1"/>
  <c r="B46" i="13"/>
  <c r="B9" i="13" s="1"/>
  <c r="I9" i="13" s="1"/>
  <c r="K9" i="13" s="1"/>
  <c r="L9" i="13" s="1"/>
  <c r="K8" i="13"/>
  <c r="L8" i="13" s="1"/>
  <c r="M8" i="13" s="1"/>
  <c r="P47" i="13"/>
  <c r="S9" i="13"/>
  <c r="T9" i="13" s="1"/>
  <c r="N47" i="13"/>
  <c r="H48" i="13"/>
  <c r="H50" i="13" s="1"/>
  <c r="K5" i="13"/>
  <c r="L5" i="13" s="1"/>
  <c r="C5" i="12" s="1"/>
  <c r="P6" i="13"/>
  <c r="S5" i="13"/>
  <c r="T5" i="13" s="1"/>
  <c r="S6" i="13"/>
  <c r="T6" i="13" s="1"/>
  <c r="P5" i="13"/>
  <c r="N5" i="13"/>
  <c r="B7" i="14"/>
  <c r="D7" i="14" s="1"/>
  <c r="J7" i="14" s="1"/>
  <c r="I89" i="3"/>
  <c r="M81" i="3"/>
  <c r="J81" i="3"/>
  <c r="N63" i="3"/>
  <c r="N42" i="3"/>
  <c r="O19" i="2"/>
  <c r="U19" i="2"/>
  <c r="Q19" i="2" s="1"/>
  <c r="H19" i="2" s="1"/>
  <c r="L19" i="2" s="1"/>
  <c r="M19" i="2" s="1"/>
  <c r="N19" i="2" s="1"/>
  <c r="D51" i="13"/>
  <c r="D49" i="13"/>
  <c r="O51" i="3"/>
  <c r="X12" i="2"/>
  <c r="O12" i="2" s="1"/>
  <c r="U12" i="2"/>
  <c r="Q12" i="2" s="1"/>
  <c r="H12" i="2" s="1"/>
  <c r="L12" i="2" s="1"/>
  <c r="M8" i="2"/>
  <c r="E27" i="3"/>
  <c r="E28" i="3" s="1"/>
  <c r="X17" i="2"/>
  <c r="O17" i="2" s="1"/>
  <c r="U17" i="2"/>
  <c r="Q17" i="2" s="1"/>
  <c r="H17" i="2" s="1"/>
  <c r="L17" i="2" s="1"/>
  <c r="X21" i="2"/>
  <c r="O21" i="2" s="1"/>
  <c r="B9" i="14"/>
  <c r="D9" i="14" s="1"/>
  <c r="N7" i="13"/>
  <c r="K7" i="13"/>
  <c r="P8" i="13"/>
  <c r="S8" i="13"/>
  <c r="T8" i="13" s="1"/>
  <c r="D40" i="8"/>
  <c r="B37" i="8"/>
  <c r="D39" i="8"/>
  <c r="B39" i="8" s="1"/>
  <c r="D39" i="1"/>
  <c r="K12" i="1"/>
  <c r="U9" i="2"/>
  <c r="Q9" i="2" s="1"/>
  <c r="H9" i="2" s="1"/>
  <c r="L9" i="2" s="1"/>
  <c r="X9" i="2"/>
  <c r="O9" i="2" s="1"/>
  <c r="Q18" i="2"/>
  <c r="H18" i="2" s="1"/>
  <c r="L18" i="2" s="1"/>
  <c r="O18" i="2"/>
  <c r="N13" i="3"/>
  <c r="N38" i="3"/>
  <c r="X15" i="2"/>
  <c r="O15" i="2" s="1"/>
  <c r="U15" i="2"/>
  <c r="Q15" i="2" s="1"/>
  <c r="H15" i="2" s="1"/>
  <c r="L15" i="2" s="1"/>
  <c r="U5" i="2"/>
  <c r="O38" i="1"/>
  <c r="P38" i="1" s="1"/>
  <c r="M10" i="7"/>
  <c r="M35" i="3"/>
  <c r="N10" i="2"/>
  <c r="N35" i="3" s="1"/>
  <c r="J35" i="3" s="1"/>
  <c r="K10" i="13"/>
  <c r="L10" i="13" s="1"/>
  <c r="C10" i="12" s="1"/>
  <c r="N10" i="13"/>
  <c r="U16" i="2"/>
  <c r="Q16" i="2" s="1"/>
  <c r="H16" i="2" s="1"/>
  <c r="L16" i="2" s="1"/>
  <c r="X16" i="2"/>
  <c r="O16" i="2" s="1"/>
  <c r="B8" i="14"/>
  <c r="D8" i="14" s="1"/>
  <c r="J8" i="14" s="1"/>
  <c r="S7" i="13"/>
  <c r="T7" i="13" s="1"/>
  <c r="N6" i="13"/>
  <c r="P7" i="13"/>
  <c r="K6" i="13"/>
  <c r="L6" i="13" s="1"/>
  <c r="C6" i="12" s="1"/>
  <c r="I24" i="1"/>
  <c r="I27" i="1" s="1"/>
  <c r="H27" i="1"/>
  <c r="N12" i="13"/>
  <c r="N11" i="13"/>
  <c r="N55" i="3"/>
  <c r="O55" i="3" s="1"/>
  <c r="B72" i="9"/>
  <c r="C109" i="9" s="1"/>
  <c r="N46" i="3"/>
  <c r="O46" i="3" s="1"/>
  <c r="O17" i="3"/>
  <c r="U14" i="2"/>
  <c r="Q14" i="2" s="1"/>
  <c r="H14" i="2" s="1"/>
  <c r="L14" i="2" s="1"/>
  <c r="K22" i="1"/>
  <c r="N22" i="1" s="1"/>
  <c r="E38" i="1"/>
  <c r="N59" i="3"/>
  <c r="U11" i="2"/>
  <c r="Q11" i="2" s="1"/>
  <c r="H11" i="2" s="1"/>
  <c r="L11" i="2" s="1"/>
  <c r="X11" i="2"/>
  <c r="O11" i="2" s="1"/>
  <c r="M13" i="7"/>
  <c r="N13" i="2"/>
  <c r="N47" i="3" s="1"/>
  <c r="J47" i="3" s="1"/>
  <c r="J48" i="3" s="1"/>
  <c r="M47" i="3"/>
  <c r="M48" i="3" s="1"/>
  <c r="O13" i="3"/>
  <c r="C39" i="8"/>
  <c r="E37" i="8"/>
  <c r="N30" i="3"/>
  <c r="X20" i="2"/>
  <c r="O20" i="2" s="1"/>
  <c r="U20" i="2"/>
  <c r="Q20" i="2" s="1"/>
  <c r="H20" i="2" s="1"/>
  <c r="L20" i="2" s="1"/>
  <c r="M20" i="2" s="1"/>
  <c r="N20" i="2" s="1"/>
  <c r="L12" i="13"/>
  <c r="L11" i="13"/>
  <c r="E7" i="8"/>
  <c r="P87" i="3"/>
  <c r="M22" i="1"/>
  <c r="E22" i="1"/>
  <c r="H9" i="5" s="1"/>
  <c r="I9" i="1"/>
  <c r="I12" i="1" s="1"/>
  <c r="H12" i="1"/>
  <c r="N26" i="3"/>
  <c r="N4" i="13"/>
  <c r="S4" i="13"/>
  <c r="T4" i="13" s="1"/>
  <c r="P4" i="13"/>
  <c r="K4" i="13"/>
  <c r="L4" i="13" s="1"/>
  <c r="C4" i="12" s="1"/>
  <c r="B6" i="14"/>
  <c r="D6" i="14" s="1"/>
  <c r="X4" i="2"/>
  <c r="O4" i="2" s="1"/>
  <c r="Q4" i="2"/>
  <c r="H4" i="2" s="1"/>
  <c r="L4" i="2" s="1"/>
  <c r="N34" i="3"/>
  <c r="J36" i="3"/>
  <c r="E22" i="3"/>
  <c r="E24" i="3" s="1"/>
  <c r="M7" i="2"/>
  <c r="E18" i="1"/>
  <c r="H8" i="5" s="1"/>
  <c r="M18" i="1"/>
  <c r="O18" i="1" s="1"/>
  <c r="P18" i="1" s="1"/>
  <c r="P84" i="3"/>
  <c r="E9" i="8"/>
  <c r="X6" i="2"/>
  <c r="O6" i="2" s="1"/>
  <c r="Q6" i="2"/>
  <c r="H6" i="2" s="1"/>
  <c r="L6" i="2" s="1"/>
  <c r="J51" i="13"/>
  <c r="J49" i="13"/>
  <c r="J50" i="13"/>
  <c r="G18" i="1"/>
  <c r="F18" i="1" s="1"/>
  <c r="I30" i="1"/>
  <c r="I34" i="1" s="1"/>
  <c r="H34" i="1"/>
  <c r="E34" i="9"/>
  <c r="C31" i="9"/>
  <c r="N34" i="1" l="1"/>
  <c r="G27" i="1"/>
  <c r="F27" i="1" s="1"/>
  <c r="N27" i="1"/>
  <c r="I8" i="5"/>
  <c r="J103" i="5"/>
  <c r="E91" i="5"/>
  <c r="F34" i="9"/>
  <c r="G34" i="9" s="1"/>
  <c r="S10" i="13"/>
  <c r="T10" i="13" s="1"/>
  <c r="N9" i="13"/>
  <c r="O9" i="13" s="1"/>
  <c r="L49" i="13"/>
  <c r="L51" i="13"/>
  <c r="F48" i="13"/>
  <c r="F50" i="13" s="1"/>
  <c r="P10" i="13"/>
  <c r="F49" i="13"/>
  <c r="Q9" i="13"/>
  <c r="C8" i="12"/>
  <c r="E8" i="12" s="1"/>
  <c r="H8" i="12" s="1"/>
  <c r="R9" i="13"/>
  <c r="O8" i="13"/>
  <c r="J6" i="14"/>
  <c r="L6" i="14" s="1"/>
  <c r="M6" i="14" s="1"/>
  <c r="J9" i="14"/>
  <c r="L9" i="14" s="1"/>
  <c r="M9" i="14" s="1"/>
  <c r="H49" i="13"/>
  <c r="H51" i="13"/>
  <c r="C13" i="7"/>
  <c r="C7" i="4"/>
  <c r="R6" i="13"/>
  <c r="E6" i="12"/>
  <c r="H6" i="12" s="1"/>
  <c r="R5" i="13"/>
  <c r="Q5" i="13"/>
  <c r="Q6" i="13"/>
  <c r="O5" i="13"/>
  <c r="M5" i="13"/>
  <c r="N13" i="7"/>
  <c r="L7" i="13"/>
  <c r="C7" i="12" s="1"/>
  <c r="E7" i="12" s="1"/>
  <c r="H7" i="12" s="1"/>
  <c r="N81" i="3"/>
  <c r="J89" i="3"/>
  <c r="E27" i="1"/>
  <c r="H10" i="5" s="1"/>
  <c r="M27" i="1"/>
  <c r="O27" i="1" s="1"/>
  <c r="P27" i="1" s="1"/>
  <c r="O35" i="3"/>
  <c r="I35" i="3"/>
  <c r="I36" i="3" s="1"/>
  <c r="F36" i="3" s="1"/>
  <c r="M36" i="3"/>
  <c r="M89" i="3"/>
  <c r="M8" i="7"/>
  <c r="M27" i="3"/>
  <c r="N8" i="2"/>
  <c r="N27" i="3" s="1"/>
  <c r="J27" i="3" s="1"/>
  <c r="J28" i="3" s="1"/>
  <c r="H36" i="3"/>
  <c r="G36" i="3" s="1"/>
  <c r="O22" i="1"/>
  <c r="P22" i="1" s="1"/>
  <c r="E52" i="3"/>
  <c r="E53" i="3" s="1"/>
  <c r="M14" i="2"/>
  <c r="N36" i="3"/>
  <c r="O34" i="3"/>
  <c r="M8" i="5"/>
  <c r="L8" i="5"/>
  <c r="N8" i="5" s="1"/>
  <c r="N48" i="3"/>
  <c r="E70" i="3"/>
  <c r="M18" i="2"/>
  <c r="G12" i="1"/>
  <c r="F12" i="1" s="1"/>
  <c r="I39" i="1"/>
  <c r="E43" i="3"/>
  <c r="E44" i="3" s="1"/>
  <c r="M12" i="2"/>
  <c r="E18" i="3"/>
  <c r="E19" i="3" s="1"/>
  <c r="M6" i="2"/>
  <c r="E60" i="3"/>
  <c r="E61" i="3" s="1"/>
  <c r="M16" i="2"/>
  <c r="O42" i="3"/>
  <c r="N13" i="13"/>
  <c r="N14" i="13"/>
  <c r="E4" i="12"/>
  <c r="H4" i="12" s="1"/>
  <c r="O4" i="13"/>
  <c r="R4" i="13"/>
  <c r="Q4" i="13"/>
  <c r="M4" i="13"/>
  <c r="E5" i="12"/>
  <c r="H5" i="12" s="1"/>
  <c r="M11" i="2"/>
  <c r="E39" i="3"/>
  <c r="E40" i="3" s="1"/>
  <c r="R7" i="13"/>
  <c r="Q7" i="13"/>
  <c r="O6" i="13"/>
  <c r="M6" i="13"/>
  <c r="P7" i="14"/>
  <c r="R14" i="14"/>
  <c r="L7" i="14"/>
  <c r="M7" i="14" s="1"/>
  <c r="M22" i="3"/>
  <c r="M7" i="7"/>
  <c r="N7" i="2"/>
  <c r="N22" i="3" s="1"/>
  <c r="C40" i="8"/>
  <c r="E39" i="8"/>
  <c r="G39" i="8" s="1"/>
  <c r="R10" i="13"/>
  <c r="M9" i="13"/>
  <c r="C9" i="12"/>
  <c r="E9" i="12" s="1"/>
  <c r="H9" i="12" s="1"/>
  <c r="Q10" i="13"/>
  <c r="O38" i="3"/>
  <c r="L22" i="2"/>
  <c r="E10" i="3"/>
  <c r="E11" i="3" s="1"/>
  <c r="M4" i="2"/>
  <c r="E10" i="12"/>
  <c r="H10" i="12" s="1"/>
  <c r="M10" i="13"/>
  <c r="O10" i="13"/>
  <c r="O63" i="3"/>
  <c r="L13" i="13"/>
  <c r="L14" i="13"/>
  <c r="M34" i="1"/>
  <c r="E34" i="1"/>
  <c r="H11" i="5" s="1"/>
  <c r="G34" i="1"/>
  <c r="F34" i="1" s="1"/>
  <c r="X5" i="2"/>
  <c r="O5" i="2" s="1"/>
  <c r="Q5" i="2"/>
  <c r="H5" i="2" s="1"/>
  <c r="L5" i="2" s="1"/>
  <c r="E31" i="3"/>
  <c r="E32" i="3" s="1"/>
  <c r="M9" i="2"/>
  <c r="M17" i="2"/>
  <c r="E64" i="3"/>
  <c r="E65" i="3" s="1"/>
  <c r="E68" i="3"/>
  <c r="E69" i="3" s="1"/>
  <c r="P8" i="14"/>
  <c r="R15" i="14"/>
  <c r="L8" i="14"/>
  <c r="M8" i="14" s="1"/>
  <c r="B40" i="8"/>
  <c r="D42" i="8"/>
  <c r="I47" i="3"/>
  <c r="I48" i="3" s="1"/>
  <c r="F48" i="3" s="1"/>
  <c r="O47" i="3"/>
  <c r="E12" i="1"/>
  <c r="H7" i="5" s="1"/>
  <c r="H39" i="1"/>
  <c r="E39" i="1" s="1"/>
  <c r="H4" i="5" s="1"/>
  <c r="H5" i="5" s="1"/>
  <c r="H6" i="5" s="1"/>
  <c r="M12" i="1"/>
  <c r="O30" i="3"/>
  <c r="O59" i="3"/>
  <c r="E56" i="3"/>
  <c r="E57" i="3" s="1"/>
  <c r="M15" i="2"/>
  <c r="N12" i="1"/>
  <c r="O26" i="3"/>
  <c r="N39" i="1" l="1"/>
  <c r="O34" i="1"/>
  <c r="P34" i="1" s="1"/>
  <c r="I11" i="5" s="1"/>
  <c r="I10" i="5"/>
  <c r="J105" i="5"/>
  <c r="E93" i="5"/>
  <c r="I9" i="5"/>
  <c r="J104" i="5"/>
  <c r="E92" i="5"/>
  <c r="K91" i="5"/>
  <c r="I91" i="5"/>
  <c r="K103" i="5"/>
  <c r="Q103" i="5"/>
  <c r="G39" i="1"/>
  <c r="F39" i="1" s="1"/>
  <c r="F51" i="13"/>
  <c r="P6" i="14"/>
  <c r="O6" i="14" s="1"/>
  <c r="R13" i="14"/>
  <c r="P9" i="14"/>
  <c r="O9" i="14" s="1"/>
  <c r="O27" i="3"/>
  <c r="I27" i="3"/>
  <c r="I28" i="3" s="1"/>
  <c r="F28" i="3" s="1"/>
  <c r="M28" i="3"/>
  <c r="M16" i="7"/>
  <c r="M60" i="3"/>
  <c r="N16" i="2"/>
  <c r="N60" i="3" s="1"/>
  <c r="D8" i="8"/>
  <c r="N89" i="3"/>
  <c r="I22" i="3"/>
  <c r="I24" i="3" s="1"/>
  <c r="F24" i="3" s="1"/>
  <c r="O22" i="3"/>
  <c r="M24" i="3"/>
  <c r="D13" i="7"/>
  <c r="D7" i="4"/>
  <c r="O89" i="3"/>
  <c r="M10" i="5"/>
  <c r="L10" i="5"/>
  <c r="N10" i="5" s="1"/>
  <c r="O8" i="14"/>
  <c r="N8" i="14"/>
  <c r="J22" i="3"/>
  <c r="J24" i="3" s="1"/>
  <c r="H24" i="3" s="1"/>
  <c r="G24" i="3" s="1"/>
  <c r="N24" i="3"/>
  <c r="M39" i="1"/>
  <c r="O12" i="1"/>
  <c r="P12" i="1" s="1"/>
  <c r="H48" i="3"/>
  <c r="G48" i="3" s="1"/>
  <c r="M9" i="7"/>
  <c r="M31" i="3"/>
  <c r="N9" i="2"/>
  <c r="N31" i="3" s="1"/>
  <c r="C18" i="4"/>
  <c r="C10" i="7"/>
  <c r="O36" i="3"/>
  <c r="O48" i="3"/>
  <c r="N14" i="2"/>
  <c r="N52" i="3" s="1"/>
  <c r="M14" i="7"/>
  <c r="M52" i="3"/>
  <c r="M15" i="7"/>
  <c r="N15" i="2"/>
  <c r="N56" i="3" s="1"/>
  <c r="M56" i="3"/>
  <c r="M9" i="5"/>
  <c r="L9" i="5"/>
  <c r="N9" i="5" s="1"/>
  <c r="M18" i="7"/>
  <c r="M23" i="2"/>
  <c r="N18" i="2"/>
  <c r="N7" i="14"/>
  <c r="O7" i="14"/>
  <c r="M6" i="7"/>
  <c r="M18" i="3"/>
  <c r="N6" i="2"/>
  <c r="N18" i="3" s="1"/>
  <c r="O7" i="13"/>
  <c r="M7" i="13"/>
  <c r="R8" i="13"/>
  <c r="Q8" i="13"/>
  <c r="M12" i="7"/>
  <c r="M43" i="3"/>
  <c r="N12" i="2"/>
  <c r="N43" i="3" s="1"/>
  <c r="M4" i="7"/>
  <c r="M10" i="3"/>
  <c r="N4" i="2"/>
  <c r="N10" i="3" s="1"/>
  <c r="C42" i="8"/>
  <c r="E42" i="8" s="1"/>
  <c r="G42" i="8" s="1"/>
  <c r="E40" i="8"/>
  <c r="G40" i="8" s="1"/>
  <c r="M11" i="7"/>
  <c r="N11" i="2"/>
  <c r="N39" i="3" s="1"/>
  <c r="M39" i="3"/>
  <c r="M64" i="3"/>
  <c r="M17" i="7"/>
  <c r="N17" i="2"/>
  <c r="N64" i="3" s="1"/>
  <c r="O81" i="3"/>
  <c r="E14" i="3"/>
  <c r="E15" i="3" s="1"/>
  <c r="E71" i="3" s="1"/>
  <c r="M5" i="2"/>
  <c r="M22" i="2" s="1"/>
  <c r="N22" i="2" s="1"/>
  <c r="D18" i="4"/>
  <c r="D10" i="7"/>
  <c r="N28" i="3"/>
  <c r="E13" i="7"/>
  <c r="H13" i="7"/>
  <c r="I13" i="7"/>
  <c r="L11" i="5" l="1"/>
  <c r="N11" i="5" s="1"/>
  <c r="M11" i="5"/>
  <c r="O39" i="1"/>
  <c r="P39" i="1" s="1"/>
  <c r="E94" i="5"/>
  <c r="I94" i="5" s="1"/>
  <c r="J106" i="5"/>
  <c r="K106" i="5" s="1"/>
  <c r="K93" i="5"/>
  <c r="I93" i="5"/>
  <c r="K105" i="5"/>
  <c r="Q105" i="5"/>
  <c r="K92" i="5"/>
  <c r="I92" i="5"/>
  <c r="Q104" i="5"/>
  <c r="K104" i="5"/>
  <c r="I7" i="5"/>
  <c r="M7" i="5" s="1"/>
  <c r="J102" i="5"/>
  <c r="E90" i="5"/>
  <c r="P103" i="5"/>
  <c r="R103" i="5" s="1"/>
  <c r="L103" i="5"/>
  <c r="N9" i="14"/>
  <c r="N6" i="14"/>
  <c r="J10" i="3"/>
  <c r="J11" i="3" s="1"/>
  <c r="N11" i="3"/>
  <c r="O64" i="3"/>
  <c r="I64" i="3"/>
  <c r="I65" i="3" s="1"/>
  <c r="F65" i="3" s="1"/>
  <c r="M65" i="3"/>
  <c r="I39" i="3"/>
  <c r="I40" i="3" s="1"/>
  <c r="F40" i="3" s="1"/>
  <c r="O39" i="3"/>
  <c r="M40" i="3"/>
  <c r="J39" i="3"/>
  <c r="J40" i="3" s="1"/>
  <c r="H40" i="3" s="1"/>
  <c r="G40" i="3" s="1"/>
  <c r="N40" i="3"/>
  <c r="O43" i="3"/>
  <c r="M44" i="3"/>
  <c r="I43" i="3"/>
  <c r="I44" i="3" s="1"/>
  <c r="F44" i="3" s="1"/>
  <c r="J64" i="3"/>
  <c r="J65" i="3" s="1"/>
  <c r="N65" i="3"/>
  <c r="L13" i="7"/>
  <c r="K13" i="7"/>
  <c r="J13" i="7"/>
  <c r="E8" i="8"/>
  <c r="P81" i="3"/>
  <c r="E18" i="4"/>
  <c r="P36" i="3"/>
  <c r="H10" i="7"/>
  <c r="I10" i="7"/>
  <c r="E10" i="7"/>
  <c r="N10" i="7"/>
  <c r="O10" i="3"/>
  <c r="I10" i="3"/>
  <c r="I11" i="3" s="1"/>
  <c r="F11" i="3" s="1"/>
  <c r="M11" i="3"/>
  <c r="I18" i="3"/>
  <c r="I19" i="3" s="1"/>
  <c r="F19" i="3" s="1"/>
  <c r="O18" i="3"/>
  <c r="M19" i="3"/>
  <c r="J31" i="3"/>
  <c r="J32" i="3" s="1"/>
  <c r="N32" i="3"/>
  <c r="I60" i="3"/>
  <c r="I61" i="3" s="1"/>
  <c r="F61" i="3" s="1"/>
  <c r="O60" i="3"/>
  <c r="M61" i="3"/>
  <c r="O31" i="3"/>
  <c r="I31" i="3"/>
  <c r="I32" i="3" s="1"/>
  <c r="F32" i="3" s="1"/>
  <c r="M32" i="3"/>
  <c r="J43" i="3"/>
  <c r="J44" i="3" s="1"/>
  <c r="H44" i="3" s="1"/>
  <c r="G44" i="3" s="1"/>
  <c r="N44" i="3"/>
  <c r="N70" i="3"/>
  <c r="D20" i="4" s="1"/>
  <c r="N23" i="2"/>
  <c r="N68" i="3" s="1"/>
  <c r="J52" i="3"/>
  <c r="J53" i="3" s="1"/>
  <c r="N53" i="3"/>
  <c r="C7" i="7"/>
  <c r="O24" i="3"/>
  <c r="C37" i="4"/>
  <c r="J18" i="3"/>
  <c r="J19" i="3" s="1"/>
  <c r="H19" i="3" s="1"/>
  <c r="G19" i="3" s="1"/>
  <c r="N19" i="3"/>
  <c r="C21" i="4"/>
  <c r="C8" i="7"/>
  <c r="O28" i="3"/>
  <c r="O52" i="3"/>
  <c r="I52" i="3"/>
  <c r="I53" i="3" s="1"/>
  <c r="F53" i="3" s="1"/>
  <c r="M53" i="3"/>
  <c r="L10" i="7"/>
  <c r="J10" i="7"/>
  <c r="K10" i="7"/>
  <c r="M70" i="3"/>
  <c r="M68" i="3"/>
  <c r="D7" i="7"/>
  <c r="D37" i="4"/>
  <c r="J60" i="3"/>
  <c r="J61" i="3" s="1"/>
  <c r="H61" i="3" s="1"/>
  <c r="G61" i="3" s="1"/>
  <c r="N61" i="3"/>
  <c r="I56" i="3"/>
  <c r="I57" i="3" s="1"/>
  <c r="F57" i="3" s="1"/>
  <c r="O56" i="3"/>
  <c r="M57" i="3"/>
  <c r="J56" i="3"/>
  <c r="J57" i="3" s="1"/>
  <c r="H57" i="3" s="1"/>
  <c r="G57" i="3" s="1"/>
  <c r="N57" i="3"/>
  <c r="D8" i="7"/>
  <c r="D21" i="4"/>
  <c r="M14" i="3"/>
  <c r="N5" i="2"/>
  <c r="N14" i="3" s="1"/>
  <c r="M5" i="7"/>
  <c r="E7" i="4"/>
  <c r="P48" i="3"/>
  <c r="H28" i="3"/>
  <c r="G28" i="3" s="1"/>
  <c r="B42" i="8"/>
  <c r="L7" i="5" l="1"/>
  <c r="N7" i="5" s="1"/>
  <c r="Q106" i="5"/>
  <c r="K94" i="5"/>
  <c r="L106" i="5"/>
  <c r="P106" i="5"/>
  <c r="R106" i="5" s="1"/>
  <c r="P105" i="5"/>
  <c r="R105" i="5" s="1"/>
  <c r="L105" i="5"/>
  <c r="P104" i="5"/>
  <c r="R104" i="5" s="1"/>
  <c r="L104" i="5"/>
  <c r="Q102" i="5"/>
  <c r="K102" i="5"/>
  <c r="K90" i="5"/>
  <c r="I90" i="5"/>
  <c r="D15" i="7"/>
  <c r="D29" i="4"/>
  <c r="D8" i="4"/>
  <c r="D6" i="7"/>
  <c r="D30" i="4"/>
  <c r="D11" i="7"/>
  <c r="C29" i="4"/>
  <c r="C15" i="7"/>
  <c r="O57" i="3"/>
  <c r="C41" i="4"/>
  <c r="E7" i="7"/>
  <c r="H7" i="7"/>
  <c r="I7" i="7"/>
  <c r="N7" i="7"/>
  <c r="D39" i="4"/>
  <c r="D16" i="7"/>
  <c r="D9" i="4"/>
  <c r="D14" i="7"/>
  <c r="C40" i="4"/>
  <c r="O65" i="3"/>
  <c r="C17" i="7"/>
  <c r="C30" i="4"/>
  <c r="O40" i="3"/>
  <c r="C11" i="7"/>
  <c r="O61" i="3"/>
  <c r="C16" i="7"/>
  <c r="C39" i="4"/>
  <c r="J14" i="3"/>
  <c r="J15" i="3" s="1"/>
  <c r="N15" i="3"/>
  <c r="I8" i="7"/>
  <c r="H8" i="7"/>
  <c r="E8" i="7"/>
  <c r="N8" i="7"/>
  <c r="J68" i="3"/>
  <c r="J69" i="3" s="1"/>
  <c r="N69" i="3"/>
  <c r="H32" i="3"/>
  <c r="G32" i="3" s="1"/>
  <c r="H65" i="3"/>
  <c r="G65" i="3" s="1"/>
  <c r="O11" i="3"/>
  <c r="C4" i="7"/>
  <c r="C38" i="4"/>
  <c r="E21" i="4"/>
  <c r="P28" i="3"/>
  <c r="H53" i="3"/>
  <c r="G53" i="3" s="1"/>
  <c r="D28" i="4"/>
  <c r="D31" i="4" s="1"/>
  <c r="D9" i="7"/>
  <c r="I14" i="3"/>
  <c r="I15" i="3" s="1"/>
  <c r="F15" i="3" s="1"/>
  <c r="O14" i="3"/>
  <c r="M15" i="3"/>
  <c r="M71" i="3" s="1"/>
  <c r="C6" i="7"/>
  <c r="C8" i="4"/>
  <c r="O19" i="3"/>
  <c r="C14" i="7"/>
  <c r="C9" i="4"/>
  <c r="O53" i="3"/>
  <c r="P24" i="3"/>
  <c r="E37" i="4"/>
  <c r="D40" i="4"/>
  <c r="D17" i="7"/>
  <c r="L7" i="7"/>
  <c r="K7" i="7"/>
  <c r="J7" i="7"/>
  <c r="O68" i="3"/>
  <c r="M69" i="3"/>
  <c r="I68" i="3"/>
  <c r="I69" i="3" s="1"/>
  <c r="F69" i="3" s="1"/>
  <c r="D4" i="7"/>
  <c r="D38" i="4"/>
  <c r="D41" i="4" s="1"/>
  <c r="O32" i="3"/>
  <c r="C28" i="4"/>
  <c r="C31" i="4" s="1"/>
  <c r="C9" i="7"/>
  <c r="L8" i="7"/>
  <c r="K8" i="7"/>
  <c r="J8" i="7"/>
  <c r="C20" i="4"/>
  <c r="O70" i="3"/>
  <c r="E20" i="4" s="1"/>
  <c r="D19" i="4"/>
  <c r="D12" i="7"/>
  <c r="C12" i="7"/>
  <c r="C19" i="4"/>
  <c r="O44" i="3"/>
  <c r="H11" i="3"/>
  <c r="G11" i="3" s="1"/>
  <c r="P102" i="5" l="1"/>
  <c r="R102" i="5" s="1"/>
  <c r="L102" i="5"/>
  <c r="H69" i="3"/>
  <c r="G69" i="3" s="1"/>
  <c r="U11" i="3"/>
  <c r="X11" i="3" s="1"/>
  <c r="Z11" i="3" s="1"/>
  <c r="AB11" i="3" s="1"/>
  <c r="U25" i="3"/>
  <c r="D43" i="4"/>
  <c r="E31" i="4"/>
  <c r="G31" i="4" s="1"/>
  <c r="C33" i="4"/>
  <c r="L12" i="7"/>
  <c r="J12" i="7"/>
  <c r="K12" i="7"/>
  <c r="P65" i="3"/>
  <c r="E40" i="4"/>
  <c r="C18" i="7"/>
  <c r="C20" i="7" s="1"/>
  <c r="C10" i="4"/>
  <c r="C11" i="4" s="1"/>
  <c r="O69" i="3"/>
  <c r="I14" i="7"/>
  <c r="H14" i="7"/>
  <c r="E14" i="7"/>
  <c r="N14" i="7"/>
  <c r="J14" i="7"/>
  <c r="L14" i="7"/>
  <c r="K14" i="7"/>
  <c r="L11" i="7"/>
  <c r="J11" i="7"/>
  <c r="K11" i="7"/>
  <c r="H15" i="7"/>
  <c r="I15" i="7"/>
  <c r="E15" i="7"/>
  <c r="N15" i="7"/>
  <c r="E8" i="4"/>
  <c r="P19" i="3"/>
  <c r="H4" i="7"/>
  <c r="I4" i="7"/>
  <c r="E4" i="7"/>
  <c r="N4" i="7"/>
  <c r="D5" i="7"/>
  <c r="D17" i="4"/>
  <c r="D22" i="4" s="1"/>
  <c r="E19" i="4"/>
  <c r="P44" i="3"/>
  <c r="L4" i="7"/>
  <c r="J4" i="7"/>
  <c r="K4" i="7"/>
  <c r="E29" i="4"/>
  <c r="P57" i="3"/>
  <c r="H15" i="3"/>
  <c r="G15" i="3" s="1"/>
  <c r="L16" i="7"/>
  <c r="J16" i="7"/>
  <c r="K16" i="7"/>
  <c r="L6" i="7"/>
  <c r="K6" i="7"/>
  <c r="J6" i="7"/>
  <c r="C43" i="4"/>
  <c r="E41" i="4"/>
  <c r="G41" i="4" s="1"/>
  <c r="E38" i="4"/>
  <c r="P11" i="3"/>
  <c r="I6" i="7"/>
  <c r="H6" i="7"/>
  <c r="E6" i="7"/>
  <c r="N6" i="7"/>
  <c r="I11" i="7"/>
  <c r="H11" i="7"/>
  <c r="E11" i="7"/>
  <c r="N11" i="7"/>
  <c r="P40" i="3"/>
  <c r="E30" i="4"/>
  <c r="H12" i="7"/>
  <c r="E12" i="7"/>
  <c r="I12" i="7"/>
  <c r="N12" i="7"/>
  <c r="E9" i="4"/>
  <c r="P53" i="3"/>
  <c r="C5" i="7"/>
  <c r="O15" i="3"/>
  <c r="C17" i="4"/>
  <c r="C22" i="4" s="1"/>
  <c r="H16" i="7"/>
  <c r="E16" i="7"/>
  <c r="I16" i="7"/>
  <c r="N16" i="7"/>
  <c r="D18" i="7"/>
  <c r="D19" i="7" s="1"/>
  <c r="D10" i="4"/>
  <c r="D11" i="4" s="1"/>
  <c r="E28" i="4"/>
  <c r="P32" i="3"/>
  <c r="K9" i="7"/>
  <c r="J9" i="7"/>
  <c r="L9" i="7"/>
  <c r="B31" i="4"/>
  <c r="D33" i="4"/>
  <c r="I17" i="7"/>
  <c r="H17" i="7"/>
  <c r="E17" i="7"/>
  <c r="N17" i="7"/>
  <c r="N71" i="3"/>
  <c r="O71" i="3" s="1"/>
  <c r="H9" i="7"/>
  <c r="E9" i="7"/>
  <c r="I9" i="7"/>
  <c r="N9" i="7"/>
  <c r="L17" i="7"/>
  <c r="J17" i="7"/>
  <c r="K17" i="7"/>
  <c r="P61" i="3"/>
  <c r="E39" i="4"/>
  <c r="K15" i="7"/>
  <c r="J15" i="7"/>
  <c r="L15" i="7"/>
  <c r="M41" i="4" l="1"/>
  <c r="M30" i="4"/>
  <c r="D20" i="7"/>
  <c r="L20" i="7" s="1"/>
  <c r="C19" i="7"/>
  <c r="L24" i="7" s="1"/>
  <c r="N24" i="7" s="1"/>
  <c r="C13" i="4"/>
  <c r="E11" i="4"/>
  <c r="G11" i="4" s="1"/>
  <c r="C9" i="6"/>
  <c r="P71" i="3"/>
  <c r="R52" i="3"/>
  <c r="G24" i="7"/>
  <c r="H24" i="7" s="1"/>
  <c r="C24" i="7"/>
  <c r="P20" i="7" s="1"/>
  <c r="E20" i="7"/>
  <c r="N20" i="7"/>
  <c r="C12" i="6"/>
  <c r="E43" i="4"/>
  <c r="C24" i="4"/>
  <c r="E22" i="4"/>
  <c r="G22" i="4" s="1"/>
  <c r="C10" i="6"/>
  <c r="C11" i="6"/>
  <c r="E33" i="4"/>
  <c r="M12" i="4"/>
  <c r="D13" i="4"/>
  <c r="D24" i="4"/>
  <c r="M21" i="4"/>
  <c r="L5" i="7"/>
  <c r="J5" i="7"/>
  <c r="K5" i="7"/>
  <c r="D11" i="6"/>
  <c r="E17" i="4"/>
  <c r="P15" i="3"/>
  <c r="H5" i="7"/>
  <c r="E5" i="7"/>
  <c r="I5" i="7"/>
  <c r="N5" i="7"/>
  <c r="B41" i="4"/>
  <c r="E10" i="4"/>
  <c r="P69" i="3"/>
  <c r="L18" i="7"/>
  <c r="K18" i="7"/>
  <c r="K20" i="7" s="1"/>
  <c r="J18" i="7"/>
  <c r="D12" i="6"/>
  <c r="I18" i="7"/>
  <c r="I20" i="7" s="1"/>
  <c r="G20" i="7" s="1"/>
  <c r="H18" i="7"/>
  <c r="H20" i="7" s="1"/>
  <c r="F20" i="7" s="1"/>
  <c r="E18" i="7"/>
  <c r="N18" i="7"/>
  <c r="V13" i="3"/>
  <c r="W13" i="3" s="1"/>
  <c r="W16" i="3"/>
  <c r="W17" i="3" s="1"/>
  <c r="W25" i="3"/>
  <c r="T13" i="3"/>
  <c r="I19" i="7" l="1"/>
  <c r="H19" i="7"/>
  <c r="B22" i="4"/>
  <c r="K19" i="7"/>
  <c r="J19" i="7"/>
  <c r="X16" i="3"/>
  <c r="Y16" i="3" s="1"/>
  <c r="D9" i="6"/>
  <c r="E11" i="6"/>
  <c r="F11" i="6" s="1"/>
  <c r="G33" i="4"/>
  <c r="H33" i="4"/>
  <c r="J20" i="7"/>
  <c r="D10" i="6"/>
  <c r="E24" i="4"/>
  <c r="B11" i="4"/>
  <c r="H43" i="4"/>
  <c r="G43" i="4"/>
  <c r="E12" i="6"/>
  <c r="F12" i="6" s="1"/>
  <c r="E13" i="4"/>
  <c r="X17" i="3" l="1"/>
  <c r="X18" i="3"/>
  <c r="X20" i="3"/>
  <c r="X19" i="3"/>
  <c r="G13" i="4"/>
  <c r="H13" i="4"/>
  <c r="E9" i="6"/>
  <c r="F9" i="6" s="1"/>
  <c r="G24" i="4"/>
  <c r="H24" i="4"/>
  <c r="E10" i="6"/>
  <c r="F10" i="6" s="1"/>
  <c r="G11" i="6"/>
  <c r="C34" i="4" s="1"/>
  <c r="C35" i="4" s="1"/>
  <c r="E35" i="4" s="1"/>
  <c r="H11" i="6"/>
  <c r="D34" i="4" s="1"/>
  <c r="D35" i="4" s="1"/>
  <c r="G12" i="6"/>
  <c r="C44" i="4" s="1"/>
  <c r="C45" i="4" s="1"/>
  <c r="H12" i="6"/>
  <c r="D44" i="4" s="1"/>
  <c r="D45" i="4" s="1"/>
  <c r="B13" i="4"/>
  <c r="E12" i="8" l="1"/>
  <c r="G35" i="4"/>
  <c r="D6" i="12"/>
  <c r="H35" i="4"/>
  <c r="G10" i="6"/>
  <c r="C25" i="4" s="1"/>
  <c r="C26" i="4" s="1"/>
  <c r="H10" i="6"/>
  <c r="D25" i="4" s="1"/>
  <c r="D26" i="4" s="1"/>
  <c r="G9" i="6"/>
  <c r="H9" i="6"/>
  <c r="D12" i="8"/>
  <c r="B35" i="4"/>
  <c r="D13" i="8"/>
  <c r="B45" i="4"/>
  <c r="E45" i="4"/>
  <c r="D11" i="8" l="1"/>
  <c r="C14" i="4"/>
  <c r="C15" i="4" s="1"/>
  <c r="K46" i="4"/>
  <c r="L46" i="4"/>
  <c r="D14" i="4"/>
  <c r="D15" i="4" s="1"/>
  <c r="E26" i="4"/>
  <c r="G6" i="12"/>
  <c r="F6" i="12"/>
  <c r="D34" i="12"/>
  <c r="H45" i="4"/>
  <c r="E13" i="8"/>
  <c r="G45" i="4"/>
  <c r="D7" i="12"/>
  <c r="I4" i="5"/>
  <c r="H26" i="4" l="1"/>
  <c r="D5" i="12"/>
  <c r="E11" i="8"/>
  <c r="G26" i="4"/>
  <c r="I5" i="5"/>
  <c r="M4" i="5"/>
  <c r="L4" i="5"/>
  <c r="N4" i="5" s="1"/>
  <c r="D46" i="4"/>
  <c r="D10" i="8"/>
  <c r="D15" i="8" s="1"/>
  <c r="D35" i="12"/>
  <c r="G7" i="12"/>
  <c r="F7" i="12"/>
  <c r="E15" i="4"/>
  <c r="B15" i="4" s="1"/>
  <c r="C46" i="4"/>
  <c r="B26" i="4"/>
  <c r="D17" i="8" l="1"/>
  <c r="B15" i="8"/>
  <c r="E15" i="8"/>
  <c r="I8" i="8"/>
  <c r="I9" i="8" s="1"/>
  <c r="I6" i="5"/>
  <c r="M5" i="5"/>
  <c r="L5" i="5"/>
  <c r="N5" i="5" s="1"/>
  <c r="E46" i="4"/>
  <c r="H15" i="4"/>
  <c r="D4" i="12"/>
  <c r="G4" i="12" s="1"/>
  <c r="E10" i="8"/>
  <c r="G15" i="4"/>
  <c r="D32" i="12"/>
  <c r="G5" i="12"/>
  <c r="F5" i="12"/>
  <c r="F4" i="12" l="1"/>
  <c r="D31" i="12"/>
  <c r="M6" i="5"/>
  <c r="L6" i="5"/>
  <c r="N6" i="5" s="1"/>
  <c r="B17" i="8"/>
  <c r="E5" i="11"/>
  <c r="E6" i="11" s="1"/>
  <c r="F6" i="11" s="1"/>
  <c r="G6" i="11" s="1"/>
  <c r="E17" i="8"/>
  <c r="D18" i="8"/>
  <c r="G17" i="8" l="1"/>
  <c r="B5" i="15" s="1"/>
  <c r="B8" i="16"/>
  <c r="C8" i="16" s="1"/>
  <c r="D8" i="16" s="1"/>
  <c r="B18" i="8"/>
  <c r="E18" i="8"/>
  <c r="G18" i="8" s="1"/>
  <c r="H6" i="11"/>
  <c r="I6" i="11"/>
  <c r="F5" i="11"/>
  <c r="G5" i="11" s="1"/>
  <c r="B19" i="15" l="1"/>
  <c r="B6" i="15"/>
  <c r="B20" i="15" s="1"/>
  <c r="H5" i="11"/>
  <c r="I5" i="11"/>
  <c r="C41" i="8"/>
  <c r="C19" i="8"/>
  <c r="C20" i="8" s="1"/>
  <c r="D19" i="8"/>
  <c r="D20" i="8" s="1"/>
  <c r="D41" i="8"/>
  <c r="B20" i="8" l="1"/>
  <c r="E20" i="8"/>
  <c r="G20" i="8" s="1"/>
</calcChain>
</file>

<file path=xl/sharedStrings.xml><?xml version="1.0" encoding="utf-8"?>
<sst xmlns="http://schemas.openxmlformats.org/spreadsheetml/2006/main" count="1416" uniqueCount="761">
  <si>
    <t>Таблица 1</t>
  </si>
  <si>
    <t xml:space="preserve">  Электрические нагрузки ремонтно-механического цеха</t>
  </si>
  <si>
    <t>Исходные данные</t>
  </si>
  <si>
    <t>Расчетные величины</t>
  </si>
  <si>
    <t>n*Pн2</t>
  </si>
  <si>
    <t>Эффективн. число эл.приемн.   nэ</t>
  </si>
  <si>
    <t>Коэф. расчетной нагрузки Кр</t>
  </si>
  <si>
    <t>Расчетная мощность</t>
  </si>
  <si>
    <t>Ток</t>
  </si>
  <si>
    <t>По заданию технологов</t>
  </si>
  <si>
    <t>По справочным данным</t>
  </si>
  <si>
    <t xml:space="preserve">Активная мощность  </t>
  </si>
  <si>
    <t xml:space="preserve">Реактивная,  </t>
  </si>
  <si>
    <t>Активная Р мах</t>
  </si>
  <si>
    <t>Реактивная, Qмах</t>
  </si>
  <si>
    <t>Полная, Sмах</t>
  </si>
  <si>
    <t>Наименование      ЭП</t>
  </si>
  <si>
    <t>Кол-воЭП, шт n</t>
  </si>
  <si>
    <t>Установленная мощность, кВт</t>
  </si>
  <si>
    <t>Коэффициент использов    Ки</t>
  </si>
  <si>
    <t>соs</t>
  </si>
  <si>
    <t>tq</t>
  </si>
  <si>
    <t>Тип ШР: ШР-11</t>
  </si>
  <si>
    <t>одного ЭП, p</t>
  </si>
  <si>
    <t>общая Р=n*p</t>
  </si>
  <si>
    <t>Рпр=Ки*р  кВт</t>
  </si>
  <si>
    <t>Qпр=Ки*р*tg, кВАр</t>
  </si>
  <si>
    <t>кВт</t>
  </si>
  <si>
    <t>кВАр</t>
  </si>
  <si>
    <t>кВА</t>
  </si>
  <si>
    <t>https://iicom.kz/production/shkafy-raspredeleniya-0-4-kv/shkafy-raspredelitelnye-shr-11-shrs-1/</t>
  </si>
  <si>
    <t>ШР-1</t>
  </si>
  <si>
    <t>Токарные автоматы (6-8)</t>
  </si>
  <si>
    <t>Зубофрезерные станки (9-11)</t>
  </si>
  <si>
    <t>Круглошлифовальные станки (12-13)</t>
  </si>
  <si>
    <t>Итого ШР-1</t>
  </si>
  <si>
    <t>ШР-2</t>
  </si>
  <si>
    <t>Заточные станки (15-17)</t>
  </si>
  <si>
    <t>Токарные станки (25)</t>
  </si>
  <si>
    <t>Плоскошлифовальные станки (26,27)</t>
  </si>
  <si>
    <t>Краные мостовые (38)</t>
  </si>
  <si>
    <t>Итого ШР-2</t>
  </si>
  <si>
    <t>ШР-3</t>
  </si>
  <si>
    <t>Токарные станки (20-24)</t>
  </si>
  <si>
    <t>Сверильные станки (18,19)</t>
  </si>
  <si>
    <t>Итого ШР-3</t>
  </si>
  <si>
    <t>ШР-4</t>
  </si>
  <si>
    <t>Строгальные станки (29-30)</t>
  </si>
  <si>
    <t>Фрезерные станки (32,34)</t>
  </si>
  <si>
    <t>Расточные станки (36-37)</t>
  </si>
  <si>
    <t>Итого ШР-4</t>
  </si>
  <si>
    <t>ШР-5</t>
  </si>
  <si>
    <t>Строгальные станки (28)</t>
  </si>
  <si>
    <t>Фрезерные станки (31,33)</t>
  </si>
  <si>
    <t>Расточные станки (35)</t>
  </si>
  <si>
    <t>Краные мостовые (39)</t>
  </si>
  <si>
    <t>Круглошлифовальные станки (14)</t>
  </si>
  <si>
    <t>Итого ШР-5</t>
  </si>
  <si>
    <t>Вентиляторы (1,2)</t>
  </si>
  <si>
    <t>Сварочные агрегаты (3-5)</t>
  </si>
  <si>
    <t>Итого РУ</t>
  </si>
  <si>
    <t>Итого цех</t>
  </si>
  <si>
    <t xml:space="preserve"> Таблица 3.3</t>
  </si>
  <si>
    <t xml:space="preserve">         Расчет электрического освещения</t>
  </si>
  <si>
    <t>N пп</t>
  </si>
  <si>
    <t>Наименование цеха</t>
  </si>
  <si>
    <t xml:space="preserve">Длина А, м </t>
  </si>
  <si>
    <t>Ширина В, м</t>
  </si>
  <si>
    <t>Освещеность Е, лк</t>
  </si>
  <si>
    <t>Тип светильника</t>
  </si>
  <si>
    <t xml:space="preserve">Высота Н, м </t>
  </si>
  <si>
    <t>Руд  Вт/м2</t>
  </si>
  <si>
    <t>Площадь S, м2</t>
  </si>
  <si>
    <t>Кзап</t>
  </si>
  <si>
    <t>К спроса Кс</t>
  </si>
  <si>
    <t>Мощность установл.Руст, кВт</t>
  </si>
  <si>
    <t>Мощность расчетн.активная  Ррасч, кВт</t>
  </si>
  <si>
    <t>Мощность расчетн.реактивная Qрасч,  кВАр</t>
  </si>
  <si>
    <t>Освещенность (%)</t>
  </si>
  <si>
    <t>Эф. высота</t>
  </si>
  <si>
    <t>Руд</t>
  </si>
  <si>
    <t>Свес</t>
  </si>
  <si>
    <t>Между светильниками L</t>
  </si>
  <si>
    <t>От стены l0</t>
  </si>
  <si>
    <t xml:space="preserve">Кол-во </t>
  </si>
  <si>
    <t>Ф</t>
  </si>
  <si>
    <t>Ф светильника</t>
  </si>
  <si>
    <t>Мощность</t>
  </si>
  <si>
    <t>Главный корпус (сборочный цех)</t>
  </si>
  <si>
    <t>Механозборочный цех</t>
  </si>
  <si>
    <t>Литейный цех</t>
  </si>
  <si>
    <t>Компрессорная станция</t>
  </si>
  <si>
    <t>Котельная станция</t>
  </si>
  <si>
    <t>Светильники</t>
  </si>
  <si>
    <t>Кузнечно-прессовый цех</t>
  </si>
  <si>
    <t>`</t>
  </si>
  <si>
    <t>https://terra-led.kz/svetilniki_armstrong_600x600/svetilnik-svetodiodnyy-armstrong-35vt-3500lm-ip54-1/</t>
  </si>
  <si>
    <t>Ремонтно-механический цех</t>
  </si>
  <si>
    <t>https://diode-system.com/ds-street-lv-150.html</t>
  </si>
  <si>
    <t>Термический цех</t>
  </si>
  <si>
    <t>https://diode-system.com/ds-street-83.html</t>
  </si>
  <si>
    <t>Насосная станция</t>
  </si>
  <si>
    <t>Заготовительно-сварочный цех</t>
  </si>
  <si>
    <t>https://diode-system.com/ds-street-60.html</t>
  </si>
  <si>
    <t>Склад</t>
  </si>
  <si>
    <t>https://akvilon.kz/p/svetilnik-svetodiodnyy-wlfs45w04-45-vt-1500-mm-4000k-5000-lm-dnevnoy-belyy-wolta-99911116/</t>
  </si>
  <si>
    <t>Админс бытовой корпус</t>
  </si>
  <si>
    <t>Транспортный цех</t>
  </si>
  <si>
    <t>Инструментальный цех</t>
  </si>
  <si>
    <t>Ремонтно-мех цех 1ч</t>
  </si>
  <si>
    <t>Ремонтно-мех цех 2ч</t>
  </si>
  <si>
    <t>Сварочное отделение</t>
  </si>
  <si>
    <t>https://terra-led.kz/svetilnik_aysberg_ip65/svetilnik-aysberg-mini-20-vt-5000-lm-ip65-analog-lsp-1kh36/</t>
  </si>
  <si>
    <t>освещение территории</t>
  </si>
  <si>
    <t xml:space="preserve">ИТОГО </t>
  </si>
  <si>
    <t>Терр.</t>
  </si>
  <si>
    <t>https://promled.com/groza-300-l-v2-5000k-155×70gr/</t>
  </si>
  <si>
    <t>Таблица 3.1</t>
  </si>
  <si>
    <t xml:space="preserve">               Электрические нагрузки завода до 1000В</t>
  </si>
  <si>
    <t>Силовой сухой трансформатор ТСЛ-1600/10/0,4</t>
  </si>
  <si>
    <t>одного ЭП, Рмин</t>
  </si>
  <si>
    <t>одного ЭП, Рмак</t>
  </si>
  <si>
    <t>1. Главный корпус (сборочный цех)</t>
  </si>
  <si>
    <t>Силовая нагрузка</t>
  </si>
  <si>
    <t>Электрич.освещ.</t>
  </si>
  <si>
    <t>Рр</t>
  </si>
  <si>
    <t>в=бета</t>
  </si>
  <si>
    <t>Sнт</t>
  </si>
  <si>
    <t>nt</t>
  </si>
  <si>
    <t>дельтаN</t>
  </si>
  <si>
    <t>m</t>
  </si>
  <si>
    <t>Qp</t>
  </si>
  <si>
    <t>Итого</t>
  </si>
  <si>
    <t>2. Механосборочный цех</t>
  </si>
  <si>
    <t>Qнк1</t>
  </si>
  <si>
    <t>Компенсация общая</t>
  </si>
  <si>
    <t xml:space="preserve">Итого </t>
  </si>
  <si>
    <t>второй этап</t>
  </si>
  <si>
    <t>К1</t>
  </si>
  <si>
    <t>К2</t>
  </si>
  <si>
    <t>гамма</t>
  </si>
  <si>
    <t>Qнк2</t>
  </si>
  <si>
    <t>Q сумма</t>
  </si>
  <si>
    <t>3.Литейный цех</t>
  </si>
  <si>
    <t>КУ</t>
  </si>
  <si>
    <t>Силовая нагрузка 0,4кВ</t>
  </si>
  <si>
    <t>2</t>
  </si>
  <si>
    <t>75</t>
  </si>
  <si>
    <t>4. Компрессорная станция</t>
  </si>
  <si>
    <t>Электрич. освещ.</t>
  </si>
  <si>
    <t xml:space="preserve">Продолжение таблицы 3.1 </t>
  </si>
  <si>
    <t>Коэффициент загрузки</t>
  </si>
  <si>
    <t>Pр</t>
  </si>
  <si>
    <t>Qт</t>
  </si>
  <si>
    <t>5. Котельная станция</t>
  </si>
  <si>
    <t>Тип трансформатора</t>
  </si>
  <si>
    <t>Гамма</t>
  </si>
  <si>
    <t>Мощность трансформатора</t>
  </si>
  <si>
    <t xml:space="preserve">Освещение </t>
  </si>
  <si>
    <t>Масляные</t>
  </si>
  <si>
    <t>6. Кузнечно-прессовый цех</t>
  </si>
  <si>
    <t>7. Ремонтно-механический цех</t>
  </si>
  <si>
    <t>8. Термический цех</t>
  </si>
  <si>
    <t>9. Насосная станция</t>
  </si>
  <si>
    <t>10. Заготовительно-сварочный цех</t>
  </si>
  <si>
    <t>11. Склад</t>
  </si>
  <si>
    <t>0,8</t>
  </si>
  <si>
    <t>12</t>
  </si>
  <si>
    <t>12. Административный бытовой корпус</t>
  </si>
  <si>
    <t>Силованя нагрузка</t>
  </si>
  <si>
    <t>13. Транспортный цех</t>
  </si>
  <si>
    <t>14. Инструментальный цех</t>
  </si>
  <si>
    <t>15. Ремонтно-механический цех</t>
  </si>
  <si>
    <t>Освещение территории</t>
  </si>
  <si>
    <t xml:space="preserve">ИТОГО НА 0,4 кВ </t>
  </si>
  <si>
    <t>Таблица 3.2</t>
  </si>
  <si>
    <t xml:space="preserve">           Электрические нагрузки 10 кВ</t>
  </si>
  <si>
    <t>Реактивная, мощность</t>
  </si>
  <si>
    <t>Реактивная Qмах</t>
  </si>
  <si>
    <t>Полная Sмах</t>
  </si>
  <si>
    <t>Наименование ЭП</t>
  </si>
  <si>
    <t xml:space="preserve"> Установленная (номинальная) мощность, кВт</t>
  </si>
  <si>
    <t xml:space="preserve">  Рпр=Ки*р  кВт</t>
  </si>
  <si>
    <t>Qпр=Рпр*tqf, кВАр</t>
  </si>
  <si>
    <t>3. Литейных цех</t>
  </si>
  <si>
    <t>в/в ДСП-10кВ</t>
  </si>
  <si>
    <t>в/в СД-10кВ</t>
  </si>
  <si>
    <t>в/в АД-10кВ</t>
  </si>
  <si>
    <t>ИТОГО 10кВ</t>
  </si>
  <si>
    <t>Таблица 4.4</t>
  </si>
  <si>
    <t xml:space="preserve">         Результирующие электрические нагрузки цеховых трансформаторных подстанций</t>
  </si>
  <si>
    <t>Наименование</t>
  </si>
  <si>
    <t>Коэф. реактивной мощности cos f</t>
  </si>
  <si>
    <t>Расчетная нагрузка</t>
  </si>
  <si>
    <t>Кол-во и мощность тр-ров. шт. кВА</t>
  </si>
  <si>
    <t>Коэфиц загрузки тр-ров</t>
  </si>
  <si>
    <t>Расчетные послеавар.токи Ip.а А</t>
  </si>
  <si>
    <r>
      <t>Р</t>
    </r>
    <r>
      <rPr>
        <vertAlign val="subscript"/>
        <sz val="14"/>
        <rFont val="Times New Roman"/>
      </rPr>
      <t>р</t>
    </r>
  </si>
  <si>
    <r>
      <t>Q</t>
    </r>
    <r>
      <rPr>
        <vertAlign val="subscript"/>
        <sz val="14"/>
        <rFont val="Times New Roman"/>
      </rPr>
      <t>p</t>
    </r>
  </si>
  <si>
    <r>
      <t>S</t>
    </r>
    <r>
      <rPr>
        <vertAlign val="subscript"/>
        <sz val="14"/>
        <rFont val="Times New Roman"/>
      </rPr>
      <t>p</t>
    </r>
  </si>
  <si>
    <t xml:space="preserve">ТП-1 </t>
  </si>
  <si>
    <t>3. Литейный цех</t>
  </si>
  <si>
    <t>Итого 0,4кВ без компенсации</t>
  </si>
  <si>
    <t>2*1600</t>
  </si>
  <si>
    <t>Компенсация</t>
  </si>
  <si>
    <t>Итого с компенсацией</t>
  </si>
  <si>
    <t>Потери в трансформаторах</t>
  </si>
  <si>
    <t>Итого 10кВ по ТП-1</t>
  </si>
  <si>
    <t>ТП-2</t>
  </si>
  <si>
    <t>Итого 0,4 без компенсации</t>
  </si>
  <si>
    <t>ТП-3</t>
  </si>
  <si>
    <t>1*1600</t>
  </si>
  <si>
    <t>ТП-4</t>
  </si>
  <si>
    <t>Не менее 75</t>
  </si>
  <si>
    <t>Итого 0,4 кВ с компенсацией</t>
  </si>
  <si>
    <t>2*300</t>
  </si>
  <si>
    <t>2*350</t>
  </si>
  <si>
    <t>Выбор выключателей и предохранителей к узлам питания 0,4 кВ</t>
  </si>
  <si>
    <t>№</t>
  </si>
  <si>
    <t>Pн, кВт</t>
  </si>
  <si>
    <t>Uн, кВ</t>
  </si>
  <si>
    <t>Кп</t>
  </si>
  <si>
    <t>КПД, %</t>
  </si>
  <si>
    <t>Cos f</t>
  </si>
  <si>
    <t>Ки</t>
  </si>
  <si>
    <t>Iра, А</t>
  </si>
  <si>
    <t>Iн, А</t>
  </si>
  <si>
    <t>Iпуск, А</t>
  </si>
  <si>
    <t>Iпик, А</t>
  </si>
  <si>
    <t>Iт.р. (Iпл.в), А</t>
  </si>
  <si>
    <t>Iэ.р, А</t>
  </si>
  <si>
    <t>Тип и параметры выключателя</t>
  </si>
  <si>
    <t>Тип</t>
  </si>
  <si>
    <t>Iт.р., А</t>
  </si>
  <si>
    <t>Iэ.р., А</t>
  </si>
  <si>
    <t>Ввод №1</t>
  </si>
  <si>
    <t>Электрон 340В Про</t>
  </si>
  <si>
    <t>Ввод №2</t>
  </si>
  <si>
    <t>Секционный</t>
  </si>
  <si>
    <t>Emax E1N</t>
  </si>
  <si>
    <t>ПН2-250</t>
  </si>
  <si>
    <t>-</t>
  </si>
  <si>
    <t>cosφ</t>
  </si>
  <si>
    <t>α</t>
  </si>
  <si>
    <t>Iнэп, А</t>
  </si>
  <si>
    <t>Iпл.в, Iн</t>
  </si>
  <si>
    <t>Iпл.в, Iп</t>
  </si>
  <si>
    <t>Марка</t>
  </si>
  <si>
    <t>Iпл.в, А</t>
  </si>
  <si>
    <t>Тип магн. Пускателя</t>
  </si>
  <si>
    <t>Тип предохранителя</t>
  </si>
  <si>
    <t>Iсраб, А</t>
  </si>
  <si>
    <t>ВА13-100</t>
  </si>
  <si>
    <t>ПМЛ-322</t>
  </si>
  <si>
    <t>EKF ППН-35/200</t>
  </si>
  <si>
    <t>EKF ППН-39/350</t>
  </si>
  <si>
    <t>EKF ППН-33/125</t>
  </si>
  <si>
    <t>ВА51-25</t>
  </si>
  <si>
    <t>ПМЛ-122</t>
  </si>
  <si>
    <t>EKF ППН-33/50</t>
  </si>
  <si>
    <t>Краны мостовые (38)</t>
  </si>
  <si>
    <t>ВА51-33</t>
  </si>
  <si>
    <t>ПМЛ-622</t>
  </si>
  <si>
    <t>EKF ППН-41/1000</t>
  </si>
  <si>
    <t>IEK ППНИ-35/250</t>
  </si>
  <si>
    <t>EKF ППН-33/100</t>
  </si>
  <si>
    <t>EKF ППН-33/160</t>
  </si>
  <si>
    <t>Краны мостовые (39)</t>
  </si>
  <si>
    <t>ВА57-35</t>
  </si>
  <si>
    <t>ПМЛ-722</t>
  </si>
  <si>
    <t>EKF ППН-41/800</t>
  </si>
  <si>
    <t>Вентилятор (1,2)</t>
  </si>
  <si>
    <t>Iдоп. (Iн)</t>
  </si>
  <si>
    <t>Кз</t>
  </si>
  <si>
    <t>Кt</t>
  </si>
  <si>
    <t>Iдоп (Iз)</t>
  </si>
  <si>
    <t>Марки и сечение проводника</t>
  </si>
  <si>
    <t>ВВГ 4*35</t>
  </si>
  <si>
    <t>ВВГ 3*2,5</t>
  </si>
  <si>
    <t>ВВГ 4*120</t>
  </si>
  <si>
    <t>Узел питания ЩО-1</t>
  </si>
  <si>
    <t>Кол-во</t>
  </si>
  <si>
    <t>Мощность, Вт</t>
  </si>
  <si>
    <t>Общ. мощность, Вт</t>
  </si>
  <si>
    <t>Расч. ток, А</t>
  </si>
  <si>
    <t>Ток тепл. расц-ля, А</t>
  </si>
  <si>
    <t>Марка АВВ</t>
  </si>
  <si>
    <t>Ток, А</t>
  </si>
  <si>
    <t>Тип провода</t>
  </si>
  <si>
    <t>1 группа</t>
  </si>
  <si>
    <t>ВА21-29В-320010</t>
  </si>
  <si>
    <t>АВВГ 3х2,5</t>
  </si>
  <si>
    <t>2 группа</t>
  </si>
  <si>
    <t>3 группа</t>
  </si>
  <si>
    <t>Итого ЩО-1</t>
  </si>
  <si>
    <t>ВА13-63</t>
  </si>
  <si>
    <t>ВВГ 4х10</t>
  </si>
  <si>
    <t>Узел питания ЩО-2</t>
  </si>
  <si>
    <t>Общая мощность, Вт</t>
  </si>
  <si>
    <t>Расчетный ток, А</t>
  </si>
  <si>
    <t>Итого ЩО-2</t>
  </si>
  <si>
    <t>Таблица 5.1</t>
  </si>
  <si>
    <t xml:space="preserve">        Потери мощности цеховых трансформаторов</t>
  </si>
  <si>
    <t xml:space="preserve">№ подстанции </t>
  </si>
  <si>
    <t>Кол-во тр-ров</t>
  </si>
  <si>
    <t>Расчетные мощности</t>
  </si>
  <si>
    <t>Потери расчетные</t>
  </si>
  <si>
    <t>Таблица 4.1</t>
  </si>
  <si>
    <t>Рр, кВт</t>
  </si>
  <si>
    <t>Qр, кВт</t>
  </si>
  <si>
    <t>Sр кВА</t>
  </si>
  <si>
    <t>kз.р</t>
  </si>
  <si>
    <t>Технические данные трансформатора 10/0,4 кВ</t>
  </si>
  <si>
    <t>Qр, квар</t>
  </si>
  <si>
    <t>Sном</t>
  </si>
  <si>
    <t>Uк</t>
  </si>
  <si>
    <t>Ркз</t>
  </si>
  <si>
    <t>Рхх</t>
  </si>
  <si>
    <t>I x</t>
  </si>
  <si>
    <t>МВА</t>
  </si>
  <si>
    <t>%</t>
  </si>
  <si>
    <t>Qxx</t>
  </si>
  <si>
    <t>Qкз</t>
  </si>
  <si>
    <t xml:space="preserve">Таблица 5.1 </t>
  </si>
  <si>
    <t xml:space="preserve">         Картограмма нагрузок</t>
  </si>
  <si>
    <t>№ п. п</t>
  </si>
  <si>
    <t>Наименование цехов</t>
  </si>
  <si>
    <t xml:space="preserve">Ri,м - (Р) </t>
  </si>
  <si>
    <t>Х,м</t>
  </si>
  <si>
    <t>Y,м</t>
  </si>
  <si>
    <t>Рi*X</t>
  </si>
  <si>
    <t>Pi*Y</t>
  </si>
  <si>
    <t>Qi*X</t>
  </si>
  <si>
    <t>Qi*Y</t>
  </si>
  <si>
    <t xml:space="preserve">Ri,м - (Q) </t>
  </si>
  <si>
    <t>освещение</t>
  </si>
  <si>
    <t>Доля осветит нагр угол</t>
  </si>
  <si>
    <t>Главный корпус</t>
  </si>
  <si>
    <t>Механосборочный цех</t>
  </si>
  <si>
    <t>Компрессорная стацния</t>
  </si>
  <si>
    <t>Административный бытовой корпус</t>
  </si>
  <si>
    <t>ЦЭН- центр электрических нагрузок</t>
  </si>
  <si>
    <t>Таблица 19</t>
  </si>
  <si>
    <t>Результирующие электрические нагрузки ГПП  110/10 кВ</t>
  </si>
  <si>
    <t>Наименование узла</t>
  </si>
  <si>
    <t>Количество и мощность трансформ. шт. кВА</t>
  </si>
  <si>
    <t>Расчетный послеавар ток Ip  A</t>
  </si>
  <si>
    <t xml:space="preserve">РП-1 </t>
  </si>
  <si>
    <t>АД-10кВ</t>
  </si>
  <si>
    <t>ДСП-10кВ</t>
  </si>
  <si>
    <t>СД-10кВ</t>
  </si>
  <si>
    <t>ТП-1</t>
  </si>
  <si>
    <t>2x1600</t>
  </si>
  <si>
    <t>1x1600</t>
  </si>
  <si>
    <t>ЗРУ-10 без компенсации</t>
  </si>
  <si>
    <t>Итого ЗРУ-10</t>
  </si>
  <si>
    <t>Потери в тр-рах ГПП</t>
  </si>
  <si>
    <t>2х25000</t>
  </si>
  <si>
    <t xml:space="preserve">Двигатели АД </t>
  </si>
  <si>
    <t>ТП3</t>
  </si>
  <si>
    <t>2х1000</t>
  </si>
  <si>
    <t>ТП1-ТП2</t>
  </si>
  <si>
    <t>4х1000</t>
  </si>
  <si>
    <t>ТП4</t>
  </si>
  <si>
    <t>Двигатели СД</t>
  </si>
  <si>
    <t>Итого ЗРУ-6</t>
  </si>
  <si>
    <t>2х10000</t>
  </si>
  <si>
    <t>Итого на 35 кВ</t>
  </si>
  <si>
    <t>Таблица 6.2</t>
  </si>
  <si>
    <t>Постоянная часть затрат ПС</t>
  </si>
  <si>
    <t xml:space="preserve">Наименование оборудования </t>
  </si>
  <si>
    <t>Стоимость единицы, тыс. тенге</t>
  </si>
  <si>
    <t>Первый вариант</t>
  </si>
  <si>
    <t>Второй вариант</t>
  </si>
  <si>
    <t xml:space="preserve">амортизация </t>
  </si>
  <si>
    <t>Общая стоимость тыс. тенге</t>
  </si>
  <si>
    <t>Общая стоимость, тыс. тенге</t>
  </si>
  <si>
    <t>амортиз</t>
  </si>
  <si>
    <t>Трансформаторы ГПП ТДТН-25000/110/10</t>
  </si>
  <si>
    <t>Трансформаторы ГПП ТДН-40000/110/10</t>
  </si>
  <si>
    <t>Реакторы одинарные РТСТ-10-5000</t>
  </si>
  <si>
    <t>Реакторы сдвоенные РБАС-10 кВ</t>
  </si>
  <si>
    <t>аморт иац отчис</t>
  </si>
  <si>
    <t>Трансформатор электропечной ТЗП-5000/10</t>
  </si>
  <si>
    <r>
      <t>Кап. затраты  К</t>
    </r>
    <r>
      <rPr>
        <vertAlign val="subscript"/>
        <sz val="12"/>
        <rFont val="Times New Roman"/>
      </rPr>
      <t>S</t>
    </r>
  </si>
  <si>
    <t>амортизация</t>
  </si>
  <si>
    <t>Технические данные трансформаторов ГПП</t>
  </si>
  <si>
    <t>ТДН-25000/110</t>
  </si>
  <si>
    <t>ТДН-40000/110</t>
  </si>
  <si>
    <t>расчет потерь</t>
  </si>
  <si>
    <t>8760*Pxx</t>
  </si>
  <si>
    <t>t</t>
  </si>
  <si>
    <t>сумма по потерям</t>
  </si>
  <si>
    <t>стоимость э/э</t>
  </si>
  <si>
    <t>тр 25000</t>
  </si>
  <si>
    <t>тыс.тг</t>
  </si>
  <si>
    <t>тр 40000</t>
  </si>
  <si>
    <t xml:space="preserve">Приведенные затраты </t>
  </si>
  <si>
    <t>Эконом эффект , срок окупаем</t>
  </si>
  <si>
    <t>Таблица 20</t>
  </si>
  <si>
    <t>Таблица 20 .Постоянная часть затрат ПС</t>
  </si>
  <si>
    <t>Стоимость за единицу (метр кабеля) , тыс. тенге</t>
  </si>
  <si>
    <t>Общая стоимость, тыс.тенге</t>
  </si>
  <si>
    <t>ААШв 3х185</t>
  </si>
  <si>
    <t>Ячейки КРУ</t>
  </si>
  <si>
    <t>1,5 тыс.руб</t>
  </si>
  <si>
    <t>Технические данные кабелей</t>
  </si>
  <si>
    <t>Тип кабеля</t>
  </si>
  <si>
    <t>Кол-во жил, шт.</t>
  </si>
  <si>
    <t>Сеч. кабеля, мм2</t>
  </si>
  <si>
    <t>ρ, Ом/м</t>
  </si>
  <si>
    <t>IMAX, А</t>
  </si>
  <si>
    <t>АВВГ 3х300</t>
  </si>
  <si>
    <t>От ЗРУ до ОРУ</t>
  </si>
  <si>
    <t>Длина СД-ГПП</t>
  </si>
  <si>
    <t>ААШв 3*95</t>
  </si>
  <si>
    <t xml:space="preserve">РП+Кабель </t>
  </si>
  <si>
    <t>Амортизация</t>
  </si>
  <si>
    <t>(Pa+Po)/100</t>
  </si>
  <si>
    <t>Количество жил, шт</t>
  </si>
  <si>
    <t>Сечение кабеля, мм2</t>
  </si>
  <si>
    <t>p уд, Ом/м</t>
  </si>
  <si>
    <t>Imax, А</t>
  </si>
  <si>
    <t>Амортизационные отчисления, тыс. тг</t>
  </si>
  <si>
    <t>1 вариант</t>
  </si>
  <si>
    <t>2 вариант</t>
  </si>
  <si>
    <t>ВВГ 3 *35</t>
  </si>
  <si>
    <t>Потери электроэнергии в кабелях</t>
  </si>
  <si>
    <t>R, Ом</t>
  </si>
  <si>
    <t>τ, ч</t>
  </si>
  <si>
    <t>Потери, кВт</t>
  </si>
  <si>
    <t>ААШв 3x240</t>
  </si>
  <si>
    <t xml:space="preserve">  Стоимость потерь</t>
  </si>
  <si>
    <t>Стоимость 1кВт/ч</t>
  </si>
  <si>
    <t>Cп, тыс. тенге</t>
  </si>
  <si>
    <t>,</t>
  </si>
  <si>
    <t>ААШв-(3х50)</t>
  </si>
  <si>
    <t>Расчет приведенных минимальных затрат по вариантам</t>
  </si>
  <si>
    <t xml:space="preserve">рн </t>
  </si>
  <si>
    <t>Затраты, тыс. тенге</t>
  </si>
  <si>
    <t>Таблица 6.1</t>
  </si>
  <si>
    <t xml:space="preserve">           Потери мощности в трансформаторах ГПП</t>
  </si>
  <si>
    <t>Тип Тр-ра</t>
  </si>
  <si>
    <t>Мощность тр-ров  S, кВА</t>
  </si>
  <si>
    <t>Рр             кВт</t>
  </si>
  <si>
    <t>Qр           кВт</t>
  </si>
  <si>
    <t>Sp</t>
  </si>
  <si>
    <t>Расчетные потери</t>
  </si>
  <si>
    <t>Рр         кВт</t>
  </si>
  <si>
    <t>Qр              квар</t>
  </si>
  <si>
    <t>Таблица 9.1</t>
  </si>
  <si>
    <t xml:space="preserve">        Выбор силовых кабелей напряжением 10 кВ к узлам питания</t>
  </si>
  <si>
    <t>Наименование пунктов питания, электроприемников              10 кВ</t>
  </si>
  <si>
    <t xml:space="preserve">Номинальн.напряжение кВ </t>
  </si>
  <si>
    <t>Ток КЗ ступени, Iпо, кА</t>
  </si>
  <si>
    <t>Расчет ный послеаварийн ток    Ipa,     А</t>
  </si>
  <si>
    <t>Тепловой импульс КЗ, Вк ка2с</t>
  </si>
  <si>
    <t>Выбор по Iдоп  A</t>
  </si>
  <si>
    <t>Выбор по эконом плотности, мм2</t>
  </si>
  <si>
    <t xml:space="preserve">Выбор по термической            мм2
</t>
  </si>
  <si>
    <t>Выбранное сечение кабеля,       мм2</t>
  </si>
  <si>
    <t>Допустимый ток кабеля Iдоп, А</t>
  </si>
  <si>
    <t>Время защит       с</t>
  </si>
  <si>
    <t>время РЗ    tрз       с</t>
  </si>
  <si>
    <t>с</t>
  </si>
  <si>
    <t>https://bystrokabel.ru/item/aashv-10kv/aashv-3h50---10kv</t>
  </si>
  <si>
    <t>ДСП 4800кВт</t>
  </si>
  <si>
    <t>https://k-ps.ru/spravochnik/kabeli-silovyie/s-bumajnoi-izolyaciei/aashv-10kv/kabel-aashv-3x240.html</t>
  </si>
  <si>
    <t>АД 1000кВт</t>
  </si>
  <si>
    <t>СД 630кВ</t>
  </si>
  <si>
    <t>ААШв 1х500</t>
  </si>
  <si>
    <t>РП1</t>
  </si>
  <si>
    <t>Т-5</t>
  </si>
  <si>
    <t>Таблица 8.2</t>
  </si>
  <si>
    <t xml:space="preserve">        Расчет токов КЗ по цеховым подстанциям на 10 кВ</t>
  </si>
  <si>
    <t>№ ТП</t>
  </si>
  <si>
    <r>
      <rPr>
        <sz val="14"/>
        <rFont val="Times New Roman"/>
      </rPr>
      <t>Хрез до ТП</t>
    </r>
  </si>
  <si>
    <r>
      <rPr>
        <sz val="14"/>
        <rFont val="Times New Roman"/>
      </rPr>
      <t>Rрез до ТП</t>
    </r>
  </si>
  <si>
    <r>
      <rPr>
        <sz val="14"/>
        <rFont val="Times New Roman"/>
      </rPr>
      <t>Длина кабеля L, км</t>
    </r>
  </si>
  <si>
    <r>
      <rPr>
        <sz val="14"/>
        <rFont val="Times New Roman"/>
      </rPr>
      <t>Хо, Ом/км</t>
    </r>
  </si>
  <si>
    <r>
      <rPr>
        <sz val="14"/>
        <rFont val="Times New Roman"/>
      </rPr>
      <t>Ro, Ом/км</t>
    </r>
  </si>
  <si>
    <r>
      <rPr>
        <sz val="14"/>
        <rFont val="Times New Roman"/>
      </rPr>
      <t xml:space="preserve">Относит сопр. кабеля Х* </t>
    </r>
  </si>
  <si>
    <r>
      <rPr>
        <sz val="14"/>
        <rFont val="Times New Roman"/>
      </rPr>
      <t xml:space="preserve">Относит сопр. кабеля    R* </t>
    </r>
  </si>
  <si>
    <r>
      <rPr>
        <sz val="14"/>
        <rFont val="Times New Roman"/>
      </rPr>
      <t>Результ сопрот Х* до трансф-ра</t>
    </r>
  </si>
  <si>
    <r>
      <rPr>
        <sz val="14"/>
        <rFont val="Times New Roman"/>
      </rPr>
      <t>Результ сопрот R* до трансф-ра</t>
    </r>
  </si>
  <si>
    <r>
      <rPr>
        <sz val="14"/>
        <rFont val="Times New Roman"/>
      </rPr>
      <t>Полное сопрот, Zрез</t>
    </r>
  </si>
  <si>
    <r>
      <rPr>
        <sz val="14"/>
        <rFont val="Times New Roman"/>
      </rPr>
      <t>Начальный периодич ток Iпо, кА</t>
    </r>
  </si>
  <si>
    <r>
      <rPr>
        <sz val="14"/>
        <rFont val="Times New Roman"/>
      </rPr>
      <t>Мгновенный ударный ток iу, кА</t>
    </r>
  </si>
  <si>
    <r>
      <rPr>
        <sz val="14"/>
        <rFont val="Times New Roman"/>
      </rPr>
      <t>Ударный коэффициент</t>
    </r>
  </si>
  <si>
    <r>
      <rPr>
        <sz val="14"/>
        <rFont val="Times New Roman"/>
      </rPr>
      <t>Действующий ударный ток Iу, кА</t>
    </r>
  </si>
  <si>
    <t>Х/3</t>
  </si>
  <si>
    <t>аериодич ток</t>
  </si>
  <si>
    <t>Результ сопрот Х* до трансф-ра</t>
  </si>
  <si>
    <t>Результ сопрот R* до трансф-ра</t>
  </si>
  <si>
    <r>
      <rPr>
        <sz val="14"/>
        <rFont val="Times New Roman"/>
      </rPr>
      <t>ТП-1</t>
    </r>
  </si>
  <si>
    <r>
      <rPr>
        <sz val="14"/>
        <rFont val="Times New Roman"/>
      </rPr>
      <t>ТП-2</t>
    </r>
  </si>
  <si>
    <r>
      <rPr>
        <sz val="14"/>
        <rFont val="Times New Roman"/>
      </rPr>
      <t>ТП-3</t>
    </r>
  </si>
  <si>
    <r>
      <rPr>
        <sz val="14"/>
        <rFont val="Times New Roman"/>
      </rPr>
      <t>ТП-4</t>
    </r>
  </si>
  <si>
    <r>
      <rPr>
        <sz val="14"/>
        <rFont val="Times New Roman"/>
      </rPr>
      <t>ДСП</t>
    </r>
  </si>
  <si>
    <r>
      <rPr>
        <sz val="14"/>
        <rFont val="Times New Roman"/>
      </rPr>
      <t>АД</t>
    </r>
  </si>
  <si>
    <r>
      <rPr>
        <sz val="14"/>
        <color theme="1"/>
        <rFont val="Times New Roman"/>
      </rPr>
      <t>СД</t>
    </r>
  </si>
  <si>
    <t>Iб1</t>
  </si>
  <si>
    <t>Iпо=</t>
  </si>
  <si>
    <t>Iб2</t>
  </si>
  <si>
    <t>iуд</t>
  </si>
  <si>
    <t>Хгпп</t>
  </si>
  <si>
    <t>Rгпп</t>
  </si>
  <si>
    <t>Iу1</t>
  </si>
  <si>
    <t>Iу2</t>
  </si>
  <si>
    <t>Хс</t>
  </si>
  <si>
    <t>iао</t>
  </si>
  <si>
    <t>iao2</t>
  </si>
  <si>
    <t>токи</t>
  </si>
  <si>
    <t>Хт</t>
  </si>
  <si>
    <t>Rт</t>
  </si>
  <si>
    <t>S''1</t>
  </si>
  <si>
    <t>S''2</t>
  </si>
  <si>
    <t>S''3</t>
  </si>
  <si>
    <t>Хл1</t>
  </si>
  <si>
    <t>Iпо2=</t>
  </si>
  <si>
    <t>ХклРП</t>
  </si>
  <si>
    <t>Iпосд</t>
  </si>
  <si>
    <t>Iнcд</t>
  </si>
  <si>
    <t>СД</t>
  </si>
  <si>
    <t>АД</t>
  </si>
  <si>
    <t>Хрез</t>
  </si>
  <si>
    <t>К3</t>
  </si>
  <si>
    <t>Хрез РП</t>
  </si>
  <si>
    <t>ХкбСД</t>
  </si>
  <si>
    <t>Тип выключателя</t>
  </si>
  <si>
    <t>Uном</t>
  </si>
  <si>
    <t>Iном</t>
  </si>
  <si>
    <t>Iном.откл</t>
  </si>
  <si>
    <t/>
  </si>
  <si>
    <t>Qхх</t>
  </si>
  <si>
    <t>ВГТ-110</t>
  </si>
  <si>
    <t>ТМГ 1600-10/0,4</t>
  </si>
  <si>
    <t>Xтгпп</t>
  </si>
  <si>
    <t>Rтгпп</t>
  </si>
  <si>
    <t>Rc</t>
  </si>
  <si>
    <t>К-3</t>
  </si>
  <si>
    <t>К-4</t>
  </si>
  <si>
    <t>Хт1</t>
  </si>
  <si>
    <t>Rт1</t>
  </si>
  <si>
    <t>Xрез</t>
  </si>
  <si>
    <t>Rт1им</t>
  </si>
  <si>
    <t>Хт1им</t>
  </si>
  <si>
    <t>Хрез1</t>
  </si>
  <si>
    <t>Хрезтп1</t>
  </si>
  <si>
    <t>Хкл1</t>
  </si>
  <si>
    <t>Хрез2</t>
  </si>
  <si>
    <t>К-5</t>
  </si>
  <si>
    <t>Rрез</t>
  </si>
  <si>
    <t>Хрезтп2</t>
  </si>
  <si>
    <t>Хкл13</t>
  </si>
  <si>
    <t>Хрез3</t>
  </si>
  <si>
    <t>Rрез3</t>
  </si>
  <si>
    <t>Zп</t>
  </si>
  <si>
    <t>Хрезтп3</t>
  </si>
  <si>
    <t>Хкл17</t>
  </si>
  <si>
    <t>Хкл3</t>
  </si>
  <si>
    <t>Rкл3</t>
  </si>
  <si>
    <t>Хр1</t>
  </si>
  <si>
    <t>Ку</t>
  </si>
  <si>
    <t>Хрезтп4</t>
  </si>
  <si>
    <t>Хкл4</t>
  </si>
  <si>
    <t>Хрездсп</t>
  </si>
  <si>
    <t>Хкл5</t>
  </si>
  <si>
    <t>Хрезсд</t>
  </si>
  <si>
    <t>Хкл9</t>
  </si>
  <si>
    <t>Хрезад</t>
  </si>
  <si>
    <t>К-1</t>
  </si>
  <si>
    <t>К-2</t>
  </si>
  <si>
    <t>Iпо</t>
  </si>
  <si>
    <t>iу1</t>
  </si>
  <si>
    <t>Таблица 8.3</t>
  </si>
  <si>
    <t xml:space="preserve">         Расчет токов КЗ на шинах ТП на 0,4 кВ</t>
  </si>
  <si>
    <t>Результирующие  сопротивления до    тр-ра в относит един.</t>
  </si>
  <si>
    <t>Результирующие  сопротивления до тр-ра в именованных един.</t>
  </si>
  <si>
    <t>Относительные сопротивления  тр-ра 10/0,4</t>
  </si>
  <si>
    <t>Именованные сопротивления тр-ра 10/0,4</t>
  </si>
  <si>
    <t>Результирующее реактивное сопротивление в точке КЗ               Xрез мОм</t>
  </si>
  <si>
    <t>Результирующее активное сопротивление в точке КЗ Rрез  мОм</t>
  </si>
  <si>
    <t>Полное сопрот, Zрез мОм</t>
  </si>
  <si>
    <t>Начальный периодич ток Iпо     кА</t>
  </si>
  <si>
    <t>Мгновенный ударный ток iу     кА</t>
  </si>
  <si>
    <t>Действующий ударный ток Iу    кА</t>
  </si>
  <si>
    <t>Ударный коэффициент Ку</t>
  </si>
  <si>
    <t>Хрез из табл. 8.2</t>
  </si>
  <si>
    <t>Rрез из табл.8.2</t>
  </si>
  <si>
    <t>Х  мОм</t>
  </si>
  <si>
    <t xml:space="preserve"> R   мОм</t>
  </si>
  <si>
    <t xml:space="preserve">Xт* </t>
  </si>
  <si>
    <t xml:space="preserve"> Rт*</t>
  </si>
  <si>
    <t>Хт, мОм</t>
  </si>
  <si>
    <t xml:space="preserve"> Rт, мОм</t>
  </si>
  <si>
    <t>мощн тр-тр 1000</t>
  </si>
  <si>
    <t>Рк, кВт</t>
  </si>
  <si>
    <t>напр КЗ</t>
  </si>
  <si>
    <r>
      <rPr>
        <sz val="12"/>
        <rFont val="Times New Roman"/>
      </rPr>
      <t>ТП-1</t>
    </r>
  </si>
  <si>
    <r>
      <rPr>
        <sz val="12"/>
        <rFont val="Times New Roman"/>
      </rPr>
      <t>ТП-2</t>
    </r>
  </si>
  <si>
    <r>
      <rPr>
        <sz val="12"/>
        <rFont val="Times New Roman"/>
      </rPr>
      <t>ТП-3</t>
    </r>
  </si>
  <si>
    <t>Rт*=Рк/Sнт</t>
  </si>
  <si>
    <r>
      <rPr>
        <sz val="12"/>
        <color theme="1"/>
        <rFont val="Times New Roman"/>
      </rPr>
      <t>ТП-4</t>
    </r>
  </si>
  <si>
    <t>Хт*=корень из uk2-Rn2</t>
  </si>
  <si>
    <t>Х/R</t>
  </si>
  <si>
    <t>Таблица 11.4</t>
  </si>
  <si>
    <t xml:space="preserve">        Выключатели отходящих присоединений 10 кВ</t>
  </si>
  <si>
    <t>Наименование присоединения</t>
  </si>
  <si>
    <t>Расчетный ток I,А</t>
  </si>
  <si>
    <t>Токи короткого замыкания</t>
  </si>
  <si>
    <t>Технические данные выключателя</t>
  </si>
  <si>
    <t>I по, кА</t>
  </si>
  <si>
    <t>iу, кА</t>
  </si>
  <si>
    <t>Iном,А</t>
  </si>
  <si>
    <t>Iпр.с, кА</t>
  </si>
  <si>
    <t>Вк, кА2с</t>
  </si>
  <si>
    <t>Вводной ЗРУ-10</t>
  </si>
  <si>
    <t>Секционный ЗРУ-10</t>
  </si>
  <si>
    <t>Таблица 11.7</t>
  </si>
  <si>
    <t xml:space="preserve">            Расчет ошиновки </t>
  </si>
  <si>
    <t xml:space="preserve">Наименование узлов </t>
  </si>
  <si>
    <t>Sp,  кВА</t>
  </si>
  <si>
    <t>Iр,  А</t>
  </si>
  <si>
    <t>Длительно допустимый ток, Iдоп, А</t>
  </si>
  <si>
    <r>
      <t>Сеч. по длит. доп. току q</t>
    </r>
    <r>
      <rPr>
        <vertAlign val="subscript"/>
        <sz val="14"/>
        <rFont val="Times New Roman"/>
      </rPr>
      <t>, мм2</t>
    </r>
  </si>
  <si>
    <t>Iпо, кА</t>
  </si>
  <si>
    <t>Тепл. импульс тока КЗ Вк, кА2 с</t>
  </si>
  <si>
    <r>
      <t>Мин. сеч. по КЗ q</t>
    </r>
    <r>
      <rPr>
        <vertAlign val="subscript"/>
        <sz val="14"/>
        <rFont val="Times New Roman"/>
      </rPr>
      <t>min,мм2</t>
    </r>
  </si>
  <si>
    <t>Максимальное усилие  f, Н</t>
  </si>
  <si>
    <t>Изгиб. момент       М, Нм</t>
  </si>
  <si>
    <t>Момент сопротвленияW см3</t>
  </si>
  <si>
    <r>
      <t>Расч. напряжен. шин dрасч</t>
    </r>
    <r>
      <rPr>
        <vertAlign val="subscript"/>
        <sz val="14"/>
        <rFont val="Times New Roman"/>
      </rPr>
      <t xml:space="preserve"> МПа</t>
    </r>
  </si>
  <si>
    <r>
      <t>Допуст. напряжен. шин d</t>
    </r>
    <r>
      <rPr>
        <vertAlign val="subscript"/>
        <sz val="14"/>
        <rFont val="Times New Roman"/>
      </rPr>
      <t>ДОП МПа</t>
    </r>
  </si>
  <si>
    <t>Окончательное .q, мм2</t>
  </si>
  <si>
    <t xml:space="preserve">Время терм. стойк. tд,c </t>
  </si>
  <si>
    <t>алюмин 1 полса на фазу</t>
  </si>
  <si>
    <t>40х4</t>
  </si>
  <si>
    <t>15x3</t>
  </si>
  <si>
    <t>20x3</t>
  </si>
  <si>
    <t>60х6</t>
  </si>
  <si>
    <t>25x3</t>
  </si>
  <si>
    <t>30х4</t>
  </si>
  <si>
    <t>365/370</t>
  </si>
  <si>
    <t>40х5</t>
  </si>
  <si>
    <t>50х5</t>
  </si>
  <si>
    <t>540/545</t>
  </si>
  <si>
    <t>50х6</t>
  </si>
  <si>
    <t>740/745</t>
  </si>
  <si>
    <t>870/880</t>
  </si>
  <si>
    <t>80х6</t>
  </si>
  <si>
    <t>1150/1170</t>
  </si>
  <si>
    <t>100/6</t>
  </si>
  <si>
    <t>1425/1455</t>
  </si>
  <si>
    <t>60x8</t>
  </si>
  <si>
    <t>1025/1040</t>
  </si>
  <si>
    <t>80x8</t>
  </si>
  <si>
    <t>1320/1355</t>
  </si>
  <si>
    <t>100x8</t>
  </si>
  <si>
    <t>1625/1690</t>
  </si>
  <si>
    <t>120x8</t>
  </si>
  <si>
    <t>1900/2040</t>
  </si>
  <si>
    <t>S"</t>
  </si>
  <si>
    <t>К-6</t>
  </si>
  <si>
    <t>ЗРУ</t>
  </si>
  <si>
    <t>10кВ</t>
  </si>
  <si>
    <t>ААШв-(3х95)</t>
  </si>
  <si>
    <t>Тип СД</t>
  </si>
  <si>
    <t>Тип АД</t>
  </si>
  <si>
    <t>Номинальная мощность, кВт</t>
  </si>
  <si>
    <t>Номинальная частота вращения, об/мин</t>
  </si>
  <si>
    <t>Номинальный ток статора, А</t>
  </si>
  <si>
    <t>Ммах/Мном</t>
  </si>
  <si>
    <t>Мпуск/Мном</t>
  </si>
  <si>
    <t>Мвх/Мном</t>
  </si>
  <si>
    <t>Iпуск/Iном</t>
  </si>
  <si>
    <t>Напряжение возбуждения, В</t>
  </si>
  <si>
    <t>Ток возбуждения, А</t>
  </si>
  <si>
    <t>Воздушный зазор, мм</t>
  </si>
  <si>
    <t>cosф</t>
  </si>
  <si>
    <t>sinф</t>
  </si>
  <si>
    <t>СД2-85/57-8МУ3</t>
  </si>
  <si>
    <t>WEG MGF450E</t>
  </si>
  <si>
    <t>ААШв 3х70</t>
  </si>
  <si>
    <t>ААШв 3х95</t>
  </si>
  <si>
    <t>Технические данные кабеля ААШв</t>
  </si>
  <si>
    <t>Х0</t>
  </si>
  <si>
    <t>R0</t>
  </si>
  <si>
    <t>ААШв 3х240</t>
  </si>
  <si>
    <t>От ЗРУ 2 до АД</t>
  </si>
  <si>
    <t>От ЗРУ 2 до СД</t>
  </si>
  <si>
    <t>От ЗРУ 1 до ТП1</t>
  </si>
  <si>
    <t>ОТ ЗРУ 1 до ТП2</t>
  </si>
  <si>
    <t>ОТ ЗРУ 1 до ТП3</t>
  </si>
  <si>
    <t>ОТ ЗРУ 1 до ТП4</t>
  </si>
  <si>
    <t>ОТ ЗРУ 1 до ДСП</t>
  </si>
  <si>
    <t>ОТ ЗРУ 1 до АД</t>
  </si>
  <si>
    <t>ОТ ЗРУ 1 до СД</t>
  </si>
  <si>
    <t>От ЗРУ 2 до ТП1</t>
  </si>
  <si>
    <t>От ЗРУ до ДСП</t>
  </si>
  <si>
    <t>От ЗРУ 2 до ТП4</t>
  </si>
  <si>
    <t>От ЗРУ 2 до ТП3</t>
  </si>
  <si>
    <t>От ЗРУ 2 до ТП2</t>
  </si>
  <si>
    <t>От ЗРУ1 до реакторов</t>
  </si>
  <si>
    <t>От ЗРУ2 до реакторов</t>
  </si>
  <si>
    <t>BB/TEL-10-20/630У2</t>
  </si>
  <si>
    <t xml:space="preserve">СД </t>
  </si>
  <si>
    <t>ДСП</t>
  </si>
  <si>
    <t>ТП-1; 0,4 кВ</t>
  </si>
  <si>
    <t>100х10</t>
  </si>
  <si>
    <t>ТП-2; 0,4 кВ</t>
  </si>
  <si>
    <t>ЗРУ-10 кВ</t>
  </si>
  <si>
    <t>Подпитка</t>
  </si>
  <si>
    <t>Таблица 11.2</t>
  </si>
  <si>
    <t xml:space="preserve">        Трансформаторы тока 10 и 110 кВ</t>
  </si>
  <si>
    <t>Расчетный послеавар.ток I,А</t>
  </si>
  <si>
    <t>Тип трансформатора тока</t>
  </si>
  <si>
    <t>S2ном, ВА</t>
  </si>
  <si>
    <t>Класс</t>
  </si>
  <si>
    <t>ТТ 110 кВ</t>
  </si>
  <si>
    <t>ТОЛ-10</t>
  </si>
  <si>
    <t>АД, 630 кВт</t>
  </si>
  <si>
    <t>СД, 1000 кВт</t>
  </si>
  <si>
    <t>ДСП, 4800 кВт</t>
  </si>
  <si>
    <t>ТП-3; 0,4 кВ</t>
  </si>
  <si>
    <t>ТП-4; 0,4 кВ</t>
  </si>
  <si>
    <t>ТПЛ-10</t>
  </si>
  <si>
    <t>ВР-101</t>
  </si>
  <si>
    <r>
      <t>I</t>
    </r>
    <r>
      <rPr>
        <sz val="10"/>
        <rFont val="Times New Roman"/>
        <family val="1"/>
        <charset val="204"/>
      </rPr>
      <t xml:space="preserve">доп. </t>
    </r>
    <r>
      <rPr>
        <sz val="12"/>
        <rFont val="Times New Roman"/>
        <family val="1"/>
        <charset val="204"/>
      </rPr>
      <t>(I</t>
    </r>
    <r>
      <rPr>
        <sz val="10"/>
        <rFont val="Times New Roman"/>
        <family val="1"/>
        <charset val="204"/>
      </rPr>
      <t>н)</t>
    </r>
    <r>
      <rPr>
        <sz val="12"/>
        <rFont val="Times New Roman"/>
        <family val="1"/>
        <charset val="204"/>
      </rPr>
      <t xml:space="preserve"> </t>
    </r>
  </si>
  <si>
    <t>Kз</t>
  </si>
  <si>
    <r>
      <t>K</t>
    </r>
    <r>
      <rPr>
        <sz val="10"/>
        <rFont val="Times New Roman"/>
        <family val="1"/>
        <charset val="204"/>
      </rPr>
      <t>t</t>
    </r>
  </si>
  <si>
    <r>
      <t>K</t>
    </r>
    <r>
      <rPr>
        <sz val="10"/>
        <rFont val="Times New Roman"/>
        <family val="1"/>
        <charset val="204"/>
      </rPr>
      <t>п</t>
    </r>
  </si>
  <si>
    <r>
      <t>I</t>
    </r>
    <r>
      <rPr>
        <sz val="10"/>
        <rFont val="Times New Roman"/>
        <family val="1"/>
        <charset val="204"/>
      </rPr>
      <t>доп</t>
    </r>
    <r>
      <rPr>
        <sz val="12"/>
        <rFont val="Times New Roman"/>
        <family val="1"/>
        <charset val="204"/>
      </rPr>
      <t xml:space="preserve"> (Iз</t>
    </r>
    <r>
      <rPr>
        <sz val="10"/>
        <rFont val="Times New Roman"/>
        <family val="1"/>
        <charset val="204"/>
      </rPr>
      <t>)</t>
    </r>
    <r>
      <rPr>
        <sz val="12"/>
        <rFont val="Times New Roman"/>
        <family val="1"/>
        <charset val="204"/>
      </rPr>
      <t xml:space="preserve">  </t>
    </r>
  </si>
  <si>
    <t>jэк</t>
  </si>
  <si>
    <t>qмин</t>
  </si>
  <si>
    <t>Марка и сечение проводника</t>
  </si>
  <si>
    <r>
      <t>I</t>
    </r>
    <r>
      <rPr>
        <sz val="10"/>
        <rFont val="Times New Roman"/>
        <family val="1"/>
        <charset val="204"/>
      </rPr>
      <t>доп</t>
    </r>
    <r>
      <rPr>
        <sz val="12"/>
        <rFont val="Times New Roman"/>
        <family val="1"/>
        <charset val="204"/>
      </rPr>
      <t xml:space="preserve">, А  </t>
    </r>
  </si>
  <si>
    <r>
      <t>Р</t>
    </r>
    <r>
      <rPr>
        <sz val="10"/>
        <rFont val="Times New Roman"/>
        <family val="1"/>
        <charset val="204"/>
      </rPr>
      <t>н</t>
    </r>
    <r>
      <rPr>
        <sz val="12"/>
        <rFont val="Times New Roman"/>
        <family val="1"/>
        <charset val="204"/>
      </rPr>
      <t xml:space="preserve"> кВт</t>
    </r>
  </si>
  <si>
    <r>
      <t>К</t>
    </r>
    <r>
      <rPr>
        <sz val="10"/>
        <rFont val="Times New Roman"/>
        <family val="1"/>
        <charset val="204"/>
      </rPr>
      <t>п</t>
    </r>
  </si>
  <si>
    <t>КПД</t>
  </si>
  <si>
    <r>
      <t>I</t>
    </r>
    <r>
      <rPr>
        <sz val="10"/>
        <rFont val="Times New Roman"/>
        <family val="1"/>
        <charset val="204"/>
      </rPr>
      <t>н</t>
    </r>
    <r>
      <rPr>
        <sz val="12"/>
        <rFont val="Times New Roman"/>
        <family val="1"/>
        <charset val="204"/>
      </rPr>
      <t xml:space="preserve"> А</t>
    </r>
  </si>
  <si>
    <r>
      <t>I</t>
    </r>
    <r>
      <rPr>
        <sz val="10"/>
        <rFont val="Times New Roman"/>
        <family val="1"/>
        <charset val="204"/>
      </rPr>
      <t>пуск</t>
    </r>
    <r>
      <rPr>
        <sz val="12"/>
        <rFont val="Times New Roman"/>
        <family val="1"/>
        <charset val="204"/>
      </rPr>
      <t xml:space="preserve"> А</t>
    </r>
  </si>
  <si>
    <r>
      <t>I</t>
    </r>
    <r>
      <rPr>
        <sz val="10"/>
        <rFont val="Times New Roman"/>
        <family val="1"/>
        <charset val="204"/>
      </rPr>
      <t>пл.в,</t>
    </r>
    <r>
      <rPr>
        <sz val="12"/>
        <rFont val="Times New Roman"/>
        <family val="1"/>
        <charset val="204"/>
      </rPr>
      <t xml:space="preserve"> I</t>
    </r>
    <r>
      <rPr>
        <sz val="10"/>
        <rFont val="Times New Roman"/>
        <family val="1"/>
        <charset val="204"/>
      </rPr>
      <t>н</t>
    </r>
  </si>
  <si>
    <t>Iпик</t>
  </si>
  <si>
    <t>Iт.р</t>
  </si>
  <si>
    <t>Iэ.р</t>
  </si>
  <si>
    <t>Марка автомата</t>
  </si>
  <si>
    <t>Iн.а по хара-ке</t>
  </si>
  <si>
    <t>Iн.р по хара-ке</t>
  </si>
  <si>
    <t>Iт.р проверка</t>
  </si>
  <si>
    <t>Iэ.р проверка</t>
  </si>
  <si>
    <t>Тип магн.пуск.</t>
  </si>
  <si>
    <t>ПМА-5100</t>
  </si>
  <si>
    <t>ВА51-31</t>
  </si>
  <si>
    <t>ПМ12-040</t>
  </si>
  <si>
    <t>ВА51-35</t>
  </si>
  <si>
    <t>ВВГнг 3х35</t>
  </si>
  <si>
    <t>Узел питания ЩО-3</t>
  </si>
  <si>
    <t>Итого ЩО-3</t>
  </si>
  <si>
    <t>ТМ-1600/10/0,4</t>
  </si>
  <si>
    <t>РП-1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</si>
</sst>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_-* #,##0.00\ [$₸]_-;\-* #,##0.00\ [$₸]_-;_-* \-??\ [$₸]_-;_-@_-"/>
    <numFmt numFmtId="165" formatCode="0.0"/>
    <numFmt numFmtId="166" formatCode="0.000"/>
    <numFmt numFmtId="167" formatCode="_(&quot;$&quot;* #,##0.00_);_(&quot;$&quot;* \(#,##0.00\);_(&quot;$&quot;* &quot;-&quot;??_);_(@_)"/>
  </numFmts>
  <fonts count="47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sz val="12"/>
      <name val="Times New Roman"/>
    </font>
    <font>
      <sz val="12"/>
      <color theme="1"/>
      <name val="Times New Roman"/>
    </font>
    <font>
      <sz val="14"/>
      <color theme="1"/>
      <name val="Times New Roman"/>
    </font>
    <font>
      <sz val="12"/>
      <name val="Arial"/>
    </font>
    <font>
      <sz val="12"/>
      <color rgb="FF000000"/>
      <name val="Times New Roman"/>
    </font>
    <font>
      <sz val="12"/>
      <color theme="1"/>
      <name val="Calibri"/>
      <scheme val="minor"/>
    </font>
    <font>
      <sz val="14"/>
      <color rgb="FF272933"/>
      <name val="Times New Roman"/>
    </font>
    <font>
      <sz val="14"/>
      <color rgb="FF202020"/>
      <name val="Times New Roman"/>
    </font>
    <font>
      <sz val="14"/>
      <color rgb="FF0B0B0B"/>
      <name val="Times New Roman"/>
    </font>
    <font>
      <u/>
      <sz val="11"/>
      <color theme="10"/>
      <name val="Calibri"/>
      <scheme val="minor"/>
    </font>
    <font>
      <sz val="12"/>
      <color rgb="FF202020"/>
      <name val="Times New Roman"/>
    </font>
    <font>
      <sz val="14"/>
      <name val="Times New Roman"/>
    </font>
    <font>
      <sz val="14"/>
      <name val="Arial"/>
    </font>
    <font>
      <sz val="11"/>
      <name val="Times New Roman"/>
    </font>
    <font>
      <sz val="10"/>
      <name val="Times New Roman"/>
    </font>
    <font>
      <b/>
      <sz val="11"/>
      <color rgb="FF3F3F3F"/>
      <name val="Calibri"/>
      <scheme val="minor"/>
    </font>
    <font>
      <sz val="11"/>
      <color theme="1"/>
      <name val="Times New Roman"/>
    </font>
    <font>
      <b/>
      <sz val="12"/>
      <name val="Times New Roman"/>
    </font>
    <font>
      <b/>
      <sz val="14"/>
      <name val="Times New Roman"/>
    </font>
    <font>
      <b/>
      <sz val="14"/>
      <name val="Arial"/>
    </font>
    <font>
      <u/>
      <sz val="10"/>
      <color rgb="FF0000FF"/>
      <name val="Arial"/>
    </font>
    <font>
      <sz val="11"/>
      <name val="Arial"/>
    </font>
    <font>
      <sz val="10"/>
      <name val="Arial"/>
    </font>
    <font>
      <sz val="16"/>
      <name val="Times New Roman"/>
    </font>
    <font>
      <sz val="10"/>
      <color rgb="FFFF0000"/>
      <name val="Arial"/>
    </font>
    <font>
      <sz val="12"/>
      <color rgb="FF1A1A1A"/>
      <name val="Times New Roman"/>
    </font>
    <font>
      <sz val="11"/>
      <color rgb="FF0A0A0A"/>
      <name val="Segoe UI"/>
    </font>
    <font>
      <vertAlign val="subscript"/>
      <sz val="14"/>
      <name val="Times New Roman"/>
    </font>
    <font>
      <vertAlign val="subscript"/>
      <sz val="12"/>
      <name val="Times New Roman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2"/>
      <color rgb="FF555555"/>
      <name val="Times New Roman"/>
      <family val="1"/>
      <charset val="204"/>
    </font>
    <font>
      <sz val="12"/>
      <color rgb="FF38383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rgb="FF92D050"/>
      </patternFill>
    </fill>
    <fill>
      <patternFill patternType="solid">
        <fgColor theme="0" tint="-0.14993743705557422"/>
        <bgColor indexed="65"/>
      </patternFill>
    </fill>
    <fill>
      <patternFill patternType="solid">
        <fgColor rgb="FFCCFFFF"/>
      </patternFill>
    </fill>
    <fill>
      <patternFill patternType="solid">
        <fgColor rgb="FFFF0000"/>
      </patternFill>
    </fill>
    <fill>
      <patternFill patternType="solid">
        <fgColor rgb="FF0070C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6">
    <xf numFmtId="0" fontId="0" fillId="0" borderId="0"/>
    <xf numFmtId="0" fontId="37" fillId="0" borderId="0"/>
    <xf numFmtId="44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40" fillId="0" borderId="0"/>
    <xf numFmtId="0" fontId="25" fillId="0" borderId="0"/>
    <xf numFmtId="167" fontId="25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2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44" fontId="37" fillId="0" borderId="0" applyFont="0" applyFill="0" applyBorder="0" applyAlignment="0" applyProtection="0"/>
    <xf numFmtId="44" fontId="37" fillId="0" borderId="0" applyFont="0" applyFill="0" applyBorder="0" applyAlignment="0" applyProtection="0"/>
  </cellStyleXfs>
  <cellXfs count="665"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justify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justify"/>
    </xf>
    <xf numFmtId="2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49" fontId="3" fillId="0" borderId="1" xfId="0" applyNumberFormat="1" applyFont="1" applyBorder="1" applyAlignment="1">
      <alignment horizontal="center" vertical="justify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vertical="justify" wrapText="1"/>
    </xf>
    <xf numFmtId="1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/>
    <xf numFmtId="0" fontId="3" fillId="0" borderId="1" xfId="0" applyFont="1" applyBorder="1" applyAlignment="1">
      <alignment horizontal="left" vertical="justify"/>
    </xf>
    <xf numFmtId="0" fontId="7" fillId="0" borderId="1" xfId="0" applyFont="1" applyBorder="1" applyAlignment="1">
      <alignment wrapText="1"/>
    </xf>
    <xf numFmtId="0" fontId="7" fillId="3" borderId="1" xfId="0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0" fontId="8" fillId="0" borderId="1" xfId="0" applyFont="1" applyBorder="1"/>
    <xf numFmtId="1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wrapText="1"/>
    </xf>
    <xf numFmtId="2" fontId="4" fillId="2" borderId="0" xfId="0" applyNumberFormat="1" applyFont="1" applyFill="1" applyAlignment="1">
      <alignment wrapText="1"/>
    </xf>
    <xf numFmtId="1" fontId="4" fillId="2" borderId="0" xfId="0" applyNumberFormat="1" applyFont="1" applyFill="1"/>
    <xf numFmtId="0" fontId="10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165" fontId="4" fillId="2" borderId="0" xfId="0" applyNumberFormat="1" applyFont="1" applyFill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2" fontId="3" fillId="2" borderId="0" xfId="0" applyNumberFormat="1" applyFont="1" applyFill="1" applyAlignment="1">
      <alignment wrapText="1"/>
    </xf>
    <xf numFmtId="1" fontId="3" fillId="2" borderId="0" xfId="0" applyNumberFormat="1" applyFont="1" applyFill="1"/>
    <xf numFmtId="1" fontId="3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13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/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/>
    </xf>
    <xf numFmtId="0" fontId="10" fillId="0" borderId="0" xfId="0" applyFont="1" applyAlignment="1">
      <alignment vertical="center" wrapText="1"/>
    </xf>
    <xf numFmtId="1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2" fillId="0" borderId="1" xfId="0" applyFont="1" applyBorder="1"/>
    <xf numFmtId="2" fontId="4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vertical="justify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justify"/>
    </xf>
    <xf numFmtId="0" fontId="3" fillId="2" borderId="1" xfId="0" applyFont="1" applyFill="1" applyBorder="1" applyAlignment="1">
      <alignment horizontal="center" vertical="justify"/>
    </xf>
    <xf numFmtId="1" fontId="3" fillId="0" borderId="1" xfId="0" applyNumberFormat="1" applyFont="1" applyBorder="1" applyAlignment="1">
      <alignment horizontal="center" vertical="justify"/>
    </xf>
    <xf numFmtId="0" fontId="14" fillId="0" borderId="1" xfId="0" applyFont="1" applyBorder="1" applyAlignment="1">
      <alignment horizontal="left" vertical="justify"/>
    </xf>
    <xf numFmtId="0" fontId="3" fillId="7" borderId="1" xfId="0" applyFont="1" applyFill="1" applyBorder="1" applyAlignment="1">
      <alignment vertical="justify"/>
    </xf>
    <xf numFmtId="0" fontId="3" fillId="7" borderId="1" xfId="0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49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2" fontId="3" fillId="7" borderId="1" xfId="0" applyNumberFormat="1" applyFont="1" applyFill="1" applyBorder="1"/>
    <xf numFmtId="1" fontId="3" fillId="7" borderId="1" xfId="0" applyNumberFormat="1" applyFont="1" applyFill="1" applyBorder="1"/>
    <xf numFmtId="0" fontId="3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/>
    <xf numFmtId="2" fontId="14" fillId="0" borderId="1" xfId="0" applyNumberFormat="1" applyFont="1" applyBorder="1"/>
    <xf numFmtId="2" fontId="14" fillId="2" borderId="1" xfId="0" applyNumberFormat="1" applyFont="1" applyFill="1" applyBorder="1"/>
    <xf numFmtId="1" fontId="14" fillId="2" borderId="1" xfId="0" applyNumberFormat="1" applyFont="1" applyFill="1" applyBorder="1"/>
    <xf numFmtId="49" fontId="3" fillId="0" borderId="1" xfId="0" applyNumberFormat="1" applyFont="1" applyBorder="1" applyAlignment="1">
      <alignment horizontal="left" vertical="justify"/>
    </xf>
    <xf numFmtId="0" fontId="16" fillId="7" borderId="1" xfId="0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/>
    <xf numFmtId="0" fontId="3" fillId="7" borderId="1" xfId="0" applyFont="1" applyFill="1" applyBorder="1" applyAlignment="1">
      <alignment horizontal="center" vertical="top" wrapText="1"/>
    </xf>
    <xf numFmtId="1" fontId="2" fillId="7" borderId="1" xfId="0" applyNumberFormat="1" applyFont="1" applyFill="1" applyBorder="1" applyAlignment="1">
      <alignment horizontal="center"/>
    </xf>
    <xf numFmtId="0" fontId="14" fillId="8" borderId="1" xfId="0" applyFont="1" applyFill="1" applyBorder="1"/>
    <xf numFmtId="49" fontId="3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7" borderId="1" xfId="0" applyFont="1" applyFill="1" applyBorder="1"/>
    <xf numFmtId="0" fontId="19" fillId="7" borderId="1" xfId="0" applyFont="1" applyFill="1" applyBorder="1" applyAlignment="1">
      <alignment horizontal="center"/>
    </xf>
    <xf numFmtId="0" fontId="19" fillId="7" borderId="1" xfId="0" applyFont="1" applyFill="1" applyBorder="1"/>
    <xf numFmtId="0" fontId="8" fillId="7" borderId="1" xfId="0" applyFont="1" applyFill="1" applyBorder="1"/>
    <xf numFmtId="0" fontId="3" fillId="4" borderId="1" xfId="0" applyFont="1" applyFill="1" applyBorder="1"/>
    <xf numFmtId="2" fontId="3" fillId="4" borderId="1" xfId="0" applyNumberFormat="1" applyFont="1" applyFill="1" applyBorder="1"/>
    <xf numFmtId="1" fontId="3" fillId="4" borderId="1" xfId="0" applyNumberFormat="1" applyFont="1" applyFill="1" applyBorder="1"/>
    <xf numFmtId="165" fontId="4" fillId="4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justify"/>
    </xf>
    <xf numFmtId="2" fontId="14" fillId="0" borderId="1" xfId="0" applyNumberFormat="1" applyFont="1" applyBorder="1" applyAlignment="1">
      <alignment horizontal="left" vertical="justify"/>
    </xf>
    <xf numFmtId="2" fontId="3" fillId="0" borderId="1" xfId="0" applyNumberFormat="1" applyFont="1" applyBorder="1" applyAlignment="1">
      <alignment vertical="center"/>
    </xf>
    <xf numFmtId="2" fontId="2" fillId="0" borderId="1" xfId="0" applyNumberFormat="1" applyFont="1" applyBorder="1"/>
    <xf numFmtId="0" fontId="14" fillId="0" borderId="1" xfId="0" applyFont="1" applyBorder="1" applyAlignment="1">
      <alignment vertical="justify"/>
    </xf>
    <xf numFmtId="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wrapText="1"/>
    </xf>
    <xf numFmtId="0" fontId="14" fillId="9" borderId="1" xfId="0" applyFont="1" applyFill="1" applyBorder="1" applyAlignment="1">
      <alignment horizontal="justify" vertical="top" wrapText="1"/>
    </xf>
    <xf numFmtId="2" fontId="14" fillId="9" borderId="1" xfId="0" applyNumberFormat="1" applyFont="1" applyFill="1" applyBorder="1"/>
    <xf numFmtId="0" fontId="14" fillId="9" borderId="1" xfId="0" applyFont="1" applyFill="1" applyBorder="1"/>
    <xf numFmtId="0" fontId="15" fillId="9" borderId="1" xfId="0" applyFont="1" applyFill="1" applyBorder="1" applyAlignment="1">
      <alignment horizontal="center"/>
    </xf>
    <xf numFmtId="2" fontId="14" fillId="0" borderId="1" xfId="0" applyNumberFormat="1" applyFont="1" applyBorder="1" applyAlignment="1">
      <alignment horizontal="center" vertical="justify"/>
    </xf>
    <xf numFmtId="2" fontId="5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5" fillId="2" borderId="1" xfId="0" applyFont="1" applyFill="1" applyBorder="1"/>
    <xf numFmtId="2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6" borderId="1" xfId="0" applyFont="1" applyFill="1" applyBorder="1"/>
    <xf numFmtId="0" fontId="2" fillId="6" borderId="1" xfId="0" applyFont="1" applyFill="1" applyBorder="1"/>
    <xf numFmtId="2" fontId="2" fillId="6" borderId="1" xfId="0" applyNumberFormat="1" applyFont="1" applyFill="1" applyBorder="1"/>
    <xf numFmtId="2" fontId="5" fillId="6" borderId="1" xfId="0" applyNumberFormat="1" applyFont="1" applyFill="1" applyBorder="1" applyAlignment="1">
      <alignment horizontal="center"/>
    </xf>
    <xf numFmtId="0" fontId="5" fillId="10" borderId="1" xfId="0" applyFont="1" applyFill="1" applyBorder="1"/>
    <xf numFmtId="2" fontId="5" fillId="10" borderId="1" xfId="0" applyNumberFormat="1" applyFont="1" applyFill="1" applyBorder="1" applyAlignment="1">
      <alignment horizontal="center"/>
    </xf>
    <xf numFmtId="165" fontId="5" fillId="10" borderId="1" xfId="0" applyNumberFormat="1" applyFont="1" applyFill="1" applyBorder="1" applyAlignment="1">
      <alignment horizontal="center"/>
    </xf>
    <xf numFmtId="2" fontId="14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/>
    <xf numFmtId="2" fontId="14" fillId="10" borderId="1" xfId="0" applyNumberFormat="1" applyFont="1" applyFill="1" applyBorder="1" applyAlignment="1">
      <alignment horizontal="center"/>
    </xf>
    <xf numFmtId="2" fontId="14" fillId="10" borderId="1" xfId="0" applyNumberFormat="1" applyFont="1" applyFill="1" applyBorder="1"/>
    <xf numFmtId="0" fontId="5" fillId="11" borderId="1" xfId="0" applyFont="1" applyFill="1" applyBorder="1"/>
    <xf numFmtId="0" fontId="2" fillId="11" borderId="1" xfId="0" applyFont="1" applyFill="1" applyBorder="1"/>
    <xf numFmtId="2" fontId="5" fillId="11" borderId="1" xfId="0" applyNumberFormat="1" applyFont="1" applyFill="1" applyBorder="1" applyAlignment="1">
      <alignment horizontal="center"/>
    </xf>
    <xf numFmtId="0" fontId="5" fillId="12" borderId="1" xfId="0" applyFont="1" applyFill="1" applyBorder="1"/>
    <xf numFmtId="2" fontId="14" fillId="12" borderId="1" xfId="0" applyNumberFormat="1" applyFont="1" applyFill="1" applyBorder="1" applyAlignment="1">
      <alignment horizontal="center" vertical="top" wrapText="1"/>
    </xf>
    <xf numFmtId="2" fontId="14" fillId="12" borderId="1" xfId="0" applyNumberFormat="1" applyFont="1" applyFill="1" applyBorder="1" applyAlignment="1">
      <alignment vertical="center" wrapText="1"/>
    </xf>
    <xf numFmtId="2" fontId="14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/>
    <xf numFmtId="165" fontId="14" fillId="12" borderId="1" xfId="0" applyNumberFormat="1" applyFont="1" applyFill="1" applyBorder="1" applyAlignment="1">
      <alignment horizontal="center"/>
    </xf>
    <xf numFmtId="2" fontId="14" fillId="12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/>
    <xf numFmtId="0" fontId="2" fillId="9" borderId="1" xfId="0" applyFont="1" applyFill="1" applyBorder="1"/>
    <xf numFmtId="0" fontId="5" fillId="6" borderId="1" xfId="0" applyFont="1" applyFill="1" applyBorder="1" applyAlignment="1">
      <alignment horizontal="center"/>
    </xf>
    <xf numFmtId="165" fontId="5" fillId="11" borderId="1" xfId="0" applyNumberFormat="1" applyFont="1" applyFill="1" applyBorder="1" applyAlignment="1">
      <alignment horizontal="center"/>
    </xf>
    <xf numFmtId="165" fontId="14" fillId="12" borderId="1" xfId="0" applyNumberFormat="1" applyFont="1" applyFill="1" applyBorder="1" applyAlignment="1">
      <alignment vertical="center" wrapText="1"/>
    </xf>
    <xf numFmtId="2" fontId="14" fillId="12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2" fillId="4" borderId="1" xfId="0" applyFont="1" applyFill="1" applyBorder="1"/>
    <xf numFmtId="0" fontId="14" fillId="4" borderId="1" xfId="0" applyFont="1" applyFill="1" applyBorder="1" applyAlignment="1">
      <alignment horizontal="justify" vertical="top" wrapText="1"/>
    </xf>
    <xf numFmtId="2" fontId="14" fillId="4" borderId="1" xfId="0" applyNumberFormat="1" applyFont="1" applyFill="1" applyBorder="1" applyAlignment="1">
      <alignment horizontal="center" vertical="top" wrapText="1"/>
    </xf>
    <xf numFmtId="2" fontId="15" fillId="4" borderId="1" xfId="0" applyNumberFormat="1" applyFont="1" applyFill="1" applyBorder="1" applyAlignment="1">
      <alignment horizontal="center"/>
    </xf>
    <xf numFmtId="0" fontId="14" fillId="4" borderId="1" xfId="0" applyFont="1" applyFill="1" applyBorder="1"/>
    <xf numFmtId="0" fontId="14" fillId="4" borderId="1" xfId="0" applyFont="1" applyFill="1" applyBorder="1" applyAlignment="1">
      <alignment vertical="justify"/>
    </xf>
    <xf numFmtId="2" fontId="14" fillId="4" borderId="1" xfId="0" applyNumberFormat="1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2" borderId="0" xfId="0" applyFont="1" applyFill="1"/>
    <xf numFmtId="0" fontId="14" fillId="0" borderId="0" xfId="0" applyFont="1" applyAlignment="1">
      <alignment horizontal="left"/>
    </xf>
    <xf numFmtId="0" fontId="14" fillId="4" borderId="1" xfId="0" applyFont="1" applyFill="1" applyBorder="1" applyAlignment="1">
      <alignment horizontal="center"/>
    </xf>
    <xf numFmtId="0" fontId="14" fillId="0" borderId="0" xfId="0" applyFont="1"/>
    <xf numFmtId="0" fontId="14" fillId="4" borderId="1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/>
    <xf numFmtId="0" fontId="14" fillId="0" borderId="19" xfId="0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horizontal="center"/>
    </xf>
    <xf numFmtId="0" fontId="15" fillId="0" borderId="0" xfId="0" applyFont="1"/>
    <xf numFmtId="0" fontId="3" fillId="0" borderId="1" xfId="0" applyFont="1" applyBorder="1" applyAlignment="1">
      <alignment horizontal="center" vertical="justify" wrapText="1"/>
    </xf>
    <xf numFmtId="2" fontId="3" fillId="0" borderId="1" xfId="0" applyNumberFormat="1" applyFont="1" applyBorder="1" applyAlignment="1">
      <alignment vertical="justify"/>
    </xf>
    <xf numFmtId="165" fontId="3" fillId="4" borderId="25" xfId="0" applyNumberFormat="1" applyFont="1" applyFill="1" applyBorder="1" applyAlignment="1">
      <alignment vertical="center"/>
    </xf>
    <xf numFmtId="0" fontId="3" fillId="0" borderId="26" xfId="0" applyFont="1" applyBorder="1" applyAlignment="1">
      <alignment vertical="justify"/>
    </xf>
    <xf numFmtId="2" fontId="3" fillId="4" borderId="1" xfId="0" applyNumberFormat="1" applyFont="1" applyFill="1" applyBorder="1" applyAlignment="1">
      <alignment vertical="justify"/>
    </xf>
    <xf numFmtId="165" fontId="3" fillId="0" borderId="1" xfId="0" applyNumberFormat="1" applyFont="1" applyBorder="1" applyAlignment="1">
      <alignment vertical="justify"/>
    </xf>
    <xf numFmtId="1" fontId="4" fillId="0" borderId="1" xfId="0" applyNumberFormat="1" applyFont="1" applyBorder="1" applyAlignment="1">
      <alignment vertical="justify"/>
    </xf>
    <xf numFmtId="0" fontId="3" fillId="0" borderId="23" xfId="0" applyFont="1" applyBorder="1" applyAlignment="1">
      <alignment vertical="justify"/>
    </xf>
    <xf numFmtId="1" fontId="3" fillId="0" borderId="1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vertical="justify"/>
    </xf>
    <xf numFmtId="2" fontId="3" fillId="0" borderId="7" xfId="0" applyNumberFormat="1" applyFont="1" applyBorder="1" applyAlignment="1">
      <alignment vertical="justify"/>
    </xf>
    <xf numFmtId="1" fontId="3" fillId="0" borderId="7" xfId="0" applyNumberFormat="1" applyFont="1" applyBorder="1" applyAlignment="1">
      <alignment vertical="justify"/>
    </xf>
    <xf numFmtId="1" fontId="3" fillId="0" borderId="23" xfId="0" applyNumberFormat="1" applyFont="1" applyBorder="1" applyAlignment="1">
      <alignment vertical="justify"/>
    </xf>
    <xf numFmtId="0" fontId="3" fillId="0" borderId="27" xfId="0" applyFont="1" applyBorder="1" applyAlignment="1">
      <alignment vertical="justify"/>
    </xf>
    <xf numFmtId="2" fontId="3" fillId="0" borderId="25" xfId="0" applyNumberFormat="1" applyFont="1" applyBorder="1" applyAlignment="1">
      <alignment vertical="center"/>
    </xf>
    <xf numFmtId="1" fontId="20" fillId="0" borderId="25" xfId="0" applyNumberFormat="1" applyFont="1" applyBorder="1" applyAlignment="1">
      <alignment vertical="center"/>
    </xf>
    <xf numFmtId="1" fontId="3" fillId="0" borderId="25" xfId="0" applyNumberFormat="1" applyFont="1" applyBorder="1" applyAlignment="1">
      <alignment vertical="center"/>
    </xf>
    <xf numFmtId="1" fontId="3" fillId="0" borderId="28" xfId="0" applyNumberFormat="1" applyFont="1" applyBorder="1" applyAlignment="1">
      <alignment vertical="center"/>
    </xf>
    <xf numFmtId="0" fontId="14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center" wrapText="1"/>
    </xf>
    <xf numFmtId="2" fontId="14" fillId="0" borderId="1" xfId="0" applyNumberFormat="1" applyFont="1" applyBorder="1" applyAlignment="1">
      <alignment horizontal="center" vertical="top" wrapText="1"/>
    </xf>
    <xf numFmtId="165" fontId="14" fillId="0" borderId="1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justify" vertical="top" wrapText="1"/>
    </xf>
    <xf numFmtId="1" fontId="14" fillId="0" borderId="1" xfId="0" applyNumberFormat="1" applyFont="1" applyBorder="1" applyAlignment="1">
      <alignment horizontal="center" vertical="top" wrapText="1"/>
    </xf>
    <xf numFmtId="0" fontId="14" fillId="0" borderId="7" xfId="0" applyFont="1" applyBorder="1" applyAlignment="1">
      <alignment horizontal="justify" vertical="top" wrapText="1"/>
    </xf>
    <xf numFmtId="2" fontId="14" fillId="0" borderId="7" xfId="0" applyNumberFormat="1" applyFont="1" applyBorder="1" applyAlignment="1">
      <alignment horizontal="center" vertical="top" wrapText="1"/>
    </xf>
    <xf numFmtId="0" fontId="14" fillId="0" borderId="7" xfId="0" applyFont="1" applyBorder="1" applyAlignment="1">
      <alignment horizontal="center" vertical="top" wrapText="1"/>
    </xf>
    <xf numFmtId="0" fontId="14" fillId="0" borderId="27" xfId="0" applyFont="1" applyBorder="1" applyAlignment="1">
      <alignment horizontal="left" vertical="top" wrapText="1"/>
    </xf>
    <xf numFmtId="2" fontId="21" fillId="0" borderId="25" xfId="0" applyNumberFormat="1" applyFont="1" applyBorder="1" applyAlignment="1">
      <alignment horizontal="center" vertical="center" wrapText="1"/>
    </xf>
    <xf numFmtId="2" fontId="14" fillId="0" borderId="25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2" fontId="21" fillId="0" borderId="28" xfId="0" applyNumberFormat="1" applyFont="1" applyBorder="1" applyAlignment="1">
      <alignment horizontal="center" vertical="center" wrapText="1"/>
    </xf>
    <xf numFmtId="0" fontId="14" fillId="0" borderId="29" xfId="0" applyFont="1" applyBorder="1" applyAlignment="1">
      <alignment horizontal="left" vertical="top" wrapText="1"/>
    </xf>
    <xf numFmtId="2" fontId="14" fillId="0" borderId="29" xfId="0" applyNumberFormat="1" applyFont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top" wrapText="1"/>
    </xf>
    <xf numFmtId="0" fontId="14" fillId="0" borderId="29" xfId="0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0" fontId="21" fillId="0" borderId="27" xfId="0" applyFont="1" applyBorder="1"/>
    <xf numFmtId="2" fontId="21" fillId="0" borderId="25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2" fillId="0" borderId="25" xfId="0" applyFont="1" applyBorder="1"/>
    <xf numFmtId="0" fontId="21" fillId="0" borderId="25" xfId="0" applyFont="1" applyBorder="1" applyAlignment="1">
      <alignment horizontal="center" vertical="center"/>
    </xf>
    <xf numFmtId="0" fontId="14" fillId="0" borderId="29" xfId="0" applyFont="1" applyBorder="1" applyAlignment="1">
      <alignment horizontal="justify" vertical="top" wrapText="1"/>
    </xf>
    <xf numFmtId="0" fontId="14" fillId="0" borderId="29" xfId="0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21" fillId="0" borderId="1" xfId="0" applyFont="1" applyBorder="1"/>
    <xf numFmtId="2" fontId="21" fillId="0" borderId="1" xfId="0" applyNumberFormat="1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/>
    <xf numFmtId="0" fontId="21" fillId="0" borderId="0" xfId="0" applyFont="1"/>
    <xf numFmtId="2" fontId="21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6" fillId="0" borderId="0" xfId="0" applyFont="1"/>
    <xf numFmtId="0" fontId="20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justify" vertical="top" wrapText="1"/>
    </xf>
    <xf numFmtId="2" fontId="6" fillId="0" borderId="0" xfId="0" applyNumberFormat="1" applyFont="1"/>
    <xf numFmtId="0" fontId="19" fillId="0" borderId="1" xfId="0" applyFont="1" applyBorder="1" applyAlignment="1">
      <alignment horizontal="center"/>
    </xf>
    <xf numFmtId="0" fontId="14" fillId="0" borderId="0" xfId="0" applyFont="1" applyAlignment="1">
      <alignment horizontal="justify"/>
    </xf>
    <xf numFmtId="0" fontId="14" fillId="0" borderId="30" xfId="0" applyFont="1" applyBorder="1"/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2" fontId="15" fillId="0" borderId="0" xfId="0" applyNumberFormat="1" applyFont="1"/>
    <xf numFmtId="165" fontId="15" fillId="0" borderId="0" xfId="0" applyNumberFormat="1" applyFont="1"/>
    <xf numFmtId="0" fontId="3" fillId="2" borderId="3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0" borderId="3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18" xfId="0" applyFont="1" applyBorder="1"/>
    <xf numFmtId="0" fontId="14" fillId="0" borderId="36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 vertical="center"/>
    </xf>
    <xf numFmtId="2" fontId="14" fillId="0" borderId="0" xfId="0" applyNumberFormat="1" applyFont="1"/>
    <xf numFmtId="0" fontId="14" fillId="0" borderId="1" xfId="0" applyFont="1" applyBorder="1" applyAlignment="1">
      <alignment horizontal="center"/>
    </xf>
    <xf numFmtId="1" fontId="14" fillId="0" borderId="29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justify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justify" wrapText="1"/>
    </xf>
    <xf numFmtId="0" fontId="14" fillId="0" borderId="37" xfId="0" applyFont="1" applyBorder="1" applyAlignment="1">
      <alignment horizontal="center" vertical="justify"/>
    </xf>
    <xf numFmtId="0" fontId="23" fillId="0" borderId="0" xfId="0" applyFont="1"/>
    <xf numFmtId="2" fontId="14" fillId="4" borderId="1" xfId="0" applyNumberFormat="1" applyFont="1" applyFill="1" applyBorder="1" applyAlignment="1">
      <alignment horizontal="center" vertical="center"/>
    </xf>
    <xf numFmtId="0" fontId="2" fillId="0" borderId="38" xfId="0" applyFont="1" applyBorder="1"/>
    <xf numFmtId="166" fontId="14" fillId="0" borderId="0" xfId="0" applyNumberFormat="1" applyFont="1" applyAlignment="1">
      <alignment horizontal="center"/>
    </xf>
    <xf numFmtId="0" fontId="24" fillId="0" borderId="0" xfId="0" applyFont="1"/>
    <xf numFmtId="0" fontId="14" fillId="2" borderId="0" xfId="0" applyFont="1" applyFill="1"/>
    <xf numFmtId="166" fontId="2" fillId="0" borderId="0" xfId="0" applyNumberFormat="1" applyFont="1"/>
    <xf numFmtId="0" fontId="2" fillId="0" borderId="0" xfId="0" applyFont="1" applyAlignment="1">
      <alignment horizontal="center"/>
    </xf>
    <xf numFmtId="2" fontId="25" fillId="0" borderId="0" xfId="0" applyNumberFormat="1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166" fontId="3" fillId="0" borderId="0" xfId="0" applyNumberFormat="1" applyFont="1"/>
    <xf numFmtId="166" fontId="14" fillId="0" borderId="0" xfId="0" applyNumberFormat="1" applyFont="1"/>
    <xf numFmtId="0" fontId="2" fillId="0" borderId="0" xfId="0" applyFont="1" applyAlignment="1">
      <alignment vertical="justify"/>
    </xf>
    <xf numFmtId="166" fontId="4" fillId="4" borderId="1" xfId="0" applyNumberFormat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27" fillId="2" borderId="0" xfId="0" applyFont="1" applyFill="1"/>
    <xf numFmtId="166" fontId="3" fillId="4" borderId="1" xfId="0" applyNumberFormat="1" applyFont="1" applyFill="1" applyBorder="1" applyAlignment="1">
      <alignment horizontal="center"/>
    </xf>
    <xf numFmtId="0" fontId="14" fillId="0" borderId="37" xfId="0" applyFont="1" applyBorder="1" applyAlignment="1">
      <alignment vertical="justify"/>
    </xf>
    <xf numFmtId="165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0" fontId="29" fillId="0" borderId="0" xfId="0" applyFont="1"/>
    <xf numFmtId="2" fontId="14" fillId="0" borderId="0" xfId="0" applyNumberFormat="1" applyFont="1" applyAlignment="1">
      <alignment horizontal="center" vertical="justify"/>
    </xf>
    <xf numFmtId="0" fontId="32" fillId="14" borderId="39" xfId="0" applyFont="1" applyFill="1" applyBorder="1" applyAlignment="1">
      <alignment horizontal="center"/>
    </xf>
    <xf numFmtId="0" fontId="33" fillId="14" borderId="39" xfId="0" applyFont="1" applyFill="1" applyBorder="1" applyAlignment="1">
      <alignment horizontal="center"/>
    </xf>
    <xf numFmtId="166" fontId="32" fillId="14" borderId="39" xfId="0" applyNumberFormat="1" applyFont="1" applyFill="1" applyBorder="1" applyAlignment="1">
      <alignment horizontal="center"/>
    </xf>
    <xf numFmtId="0" fontId="34" fillId="14" borderId="39" xfId="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14" fillId="4" borderId="23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35" fillId="15" borderId="39" xfId="0" applyFont="1" applyFill="1" applyBorder="1" applyAlignment="1">
      <alignment horizontal="center"/>
    </xf>
    <xf numFmtId="0" fontId="36" fillId="15" borderId="39" xfId="0" applyFont="1" applyFill="1" applyBorder="1" applyAlignment="1">
      <alignment horizontal="center"/>
    </xf>
    <xf numFmtId="0" fontId="36" fillId="15" borderId="39" xfId="0" applyFont="1" applyFill="1" applyBorder="1"/>
    <xf numFmtId="0" fontId="4" fillId="2" borderId="38" xfId="0" applyFont="1" applyFill="1" applyBorder="1" applyAlignment="1">
      <alignment horizontal="center"/>
    </xf>
    <xf numFmtId="0" fontId="32" fillId="15" borderId="39" xfId="0" applyFont="1" applyFill="1" applyBorder="1" applyAlignment="1">
      <alignment horizontal="center" vertical="center" wrapText="1"/>
    </xf>
    <xf numFmtId="0" fontId="41" fillId="15" borderId="39" xfId="1" applyFont="1" applyFill="1" applyBorder="1" applyAlignment="1">
      <alignment horizontal="center" vertical="center" wrapText="1"/>
    </xf>
    <xf numFmtId="0" fontId="42" fillId="15" borderId="39" xfId="1" applyFont="1" applyFill="1" applyBorder="1" applyAlignment="1">
      <alignment horizontal="center" vertical="center" wrapText="1"/>
    </xf>
    <xf numFmtId="0" fontId="32" fillId="15" borderId="39" xfId="1" applyFont="1" applyFill="1" applyBorder="1" applyAlignment="1">
      <alignment horizontal="center" vertical="center"/>
    </xf>
    <xf numFmtId="0" fontId="32" fillId="15" borderId="39" xfId="0" applyFont="1" applyFill="1" applyBorder="1" applyAlignment="1">
      <alignment horizontal="center" vertical="center"/>
    </xf>
    <xf numFmtId="0" fontId="16" fillId="14" borderId="39" xfId="0" applyFont="1" applyFill="1" applyBorder="1" applyAlignment="1">
      <alignment horizontal="center"/>
    </xf>
    <xf numFmtId="0" fontId="19" fillId="14" borderId="39" xfId="0" applyFont="1" applyFill="1" applyBorder="1" applyAlignment="1">
      <alignment horizontal="center"/>
    </xf>
    <xf numFmtId="0" fontId="35" fillId="14" borderId="39" xfId="1" applyFont="1" applyFill="1" applyBorder="1" applyAlignment="1">
      <alignment horizontal="center"/>
    </xf>
    <xf numFmtId="0" fontId="32" fillId="14" borderId="39" xfId="1" applyFont="1" applyFill="1" applyBorder="1" applyAlignment="1">
      <alignment horizontal="center"/>
    </xf>
    <xf numFmtId="0" fontId="14" fillId="14" borderId="39" xfId="0" applyFont="1" applyFill="1" applyBorder="1" applyAlignment="1">
      <alignment horizontal="center" vertical="center"/>
    </xf>
    <xf numFmtId="0" fontId="35" fillId="16" borderId="0" xfId="1" applyFont="1" applyFill="1"/>
    <xf numFmtId="0" fontId="35" fillId="0" borderId="0" xfId="1" applyFont="1" applyAlignment="1">
      <alignment horizontal="center"/>
    </xf>
    <xf numFmtId="0" fontId="33" fillId="14" borderId="39" xfId="1" applyFont="1" applyFill="1" applyBorder="1" applyAlignment="1">
      <alignment horizontal="center"/>
    </xf>
    <xf numFmtId="0" fontId="37" fillId="15" borderId="39" xfId="1" applyFill="1" applyBorder="1" applyAlignment="1">
      <alignment horizontal="center"/>
    </xf>
    <xf numFmtId="0" fontId="35" fillId="15" borderId="39" xfId="1" applyFont="1" applyFill="1" applyBorder="1" applyAlignment="1">
      <alignment horizontal="center"/>
    </xf>
    <xf numFmtId="0" fontId="14" fillId="17" borderId="0" xfId="0" applyFont="1" applyFill="1"/>
    <xf numFmtId="166" fontId="14" fillId="17" borderId="0" xfId="0" applyNumberFormat="1" applyFont="1" applyFill="1" applyAlignment="1">
      <alignment horizontal="center"/>
    </xf>
    <xf numFmtId="0" fontId="2" fillId="17" borderId="0" xfId="0" applyFont="1" applyFill="1"/>
    <xf numFmtId="2" fontId="14" fillId="17" borderId="0" xfId="0" applyNumberFormat="1" applyFont="1" applyFill="1" applyAlignment="1">
      <alignment horizontal="center"/>
    </xf>
    <xf numFmtId="2" fontId="14" fillId="17" borderId="0" xfId="0" applyNumberFormat="1" applyFont="1" applyFill="1"/>
    <xf numFmtId="0" fontId="24" fillId="17" borderId="0" xfId="0" applyFont="1" applyFill="1"/>
    <xf numFmtId="0" fontId="21" fillId="17" borderId="0" xfId="0" applyFont="1" applyFill="1"/>
    <xf numFmtId="2" fontId="21" fillId="17" borderId="0" xfId="0" applyNumberFormat="1" applyFont="1" applyFill="1"/>
    <xf numFmtId="165" fontId="14" fillId="17" borderId="0" xfId="0" applyNumberFormat="1" applyFont="1" applyFill="1"/>
    <xf numFmtId="166" fontId="2" fillId="17" borderId="0" xfId="0" applyNumberFormat="1" applyFont="1" applyFill="1"/>
    <xf numFmtId="165" fontId="14" fillId="17" borderId="0" xfId="0" applyNumberFormat="1" applyFont="1" applyFill="1" applyAlignment="1">
      <alignment horizontal="center"/>
    </xf>
    <xf numFmtId="2" fontId="0" fillId="0" borderId="0" xfId="0" applyNumberFormat="1"/>
    <xf numFmtId="0" fontId="0" fillId="0" borderId="0" xfId="0"/>
    <xf numFmtId="0" fontId="14" fillId="4" borderId="23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wrapText="1"/>
    </xf>
    <xf numFmtId="0" fontId="4" fillId="2" borderId="39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 vertical="center"/>
    </xf>
    <xf numFmtId="0" fontId="33" fillId="16" borderId="0" xfId="1" applyFont="1" applyFill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33" fillId="2" borderId="29" xfId="0" applyFont="1" applyFill="1" applyBorder="1" applyAlignment="1">
      <alignment horizontal="center" vertical="center" wrapText="1"/>
    </xf>
    <xf numFmtId="0" fontId="32" fillId="14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32" fillId="2" borderId="40" xfId="0" applyFont="1" applyFill="1" applyBorder="1" applyAlignment="1">
      <alignment horizontal="center"/>
    </xf>
    <xf numFmtId="0" fontId="33" fillId="2" borderId="41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19" fillId="5" borderId="26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wrapText="1"/>
    </xf>
    <xf numFmtId="0" fontId="3" fillId="18" borderId="43" xfId="0" applyFont="1" applyFill="1" applyBorder="1" applyAlignment="1">
      <alignment horizontal="center"/>
    </xf>
    <xf numFmtId="0" fontId="3" fillId="18" borderId="39" xfId="0" applyFont="1" applyFill="1" applyBorder="1" applyAlignment="1">
      <alignment horizontal="center"/>
    </xf>
    <xf numFmtId="0" fontId="33" fillId="2" borderId="39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center" vertical="center" wrapText="1"/>
    </xf>
    <xf numFmtId="0" fontId="33" fillId="2" borderId="45" xfId="0" applyFont="1" applyFill="1" applyBorder="1" applyAlignment="1">
      <alignment horizontal="center" vertical="center" wrapText="1"/>
    </xf>
    <xf numFmtId="0" fontId="33" fillId="2" borderId="44" xfId="0" applyFont="1" applyFill="1" applyBorder="1" applyAlignment="1">
      <alignment horizontal="center" vertical="center" wrapText="1"/>
    </xf>
    <xf numFmtId="0" fontId="35" fillId="16" borderId="39" xfId="1" applyFont="1" applyFill="1" applyBorder="1" applyAlignment="1">
      <alignment horizontal="center"/>
    </xf>
    <xf numFmtId="0" fontId="19" fillId="16" borderId="39" xfId="0" applyFont="1" applyFill="1" applyBorder="1" applyAlignment="1">
      <alignment horizontal="center"/>
    </xf>
    <xf numFmtId="0" fontId="33" fillId="16" borderId="39" xfId="1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0" fontId="28" fillId="4" borderId="7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/>
    </xf>
    <xf numFmtId="2" fontId="14" fillId="0" borderId="39" xfId="0" applyNumberFormat="1" applyFont="1" applyBorder="1" applyAlignment="1">
      <alignment horizontal="center"/>
    </xf>
    <xf numFmtId="0" fontId="28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35" fillId="19" borderId="1" xfId="0" applyFont="1" applyFill="1" applyBorder="1" applyAlignment="1">
      <alignment horizontal="center" vertical="justify" wrapText="1"/>
    </xf>
    <xf numFmtId="0" fontId="35" fillId="1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2" fontId="14" fillId="0" borderId="26" xfId="0" applyNumberFormat="1" applyFont="1" applyBorder="1" applyAlignment="1">
      <alignment horizontal="center" vertical="justify"/>
    </xf>
    <xf numFmtId="0" fontId="3" fillId="0" borderId="1" xfId="0" applyFont="1" applyBorder="1" applyAlignment="1">
      <alignment horizontal="center" vertical="top" wrapText="1"/>
    </xf>
    <xf numFmtId="0" fontId="3" fillId="0" borderId="29" xfId="0" applyFont="1" applyBorder="1"/>
    <xf numFmtId="0" fontId="43" fillId="14" borderId="39" xfId="0" applyFont="1" applyFill="1" applyBorder="1" applyAlignment="1">
      <alignment horizontal="center"/>
    </xf>
    <xf numFmtId="0" fontId="35" fillId="14" borderId="1" xfId="0" applyFont="1" applyFill="1" applyBorder="1" applyAlignment="1">
      <alignment horizontal="center"/>
    </xf>
    <xf numFmtId="166" fontId="35" fillId="14" borderId="1" xfId="0" applyNumberFormat="1" applyFont="1" applyFill="1" applyBorder="1" applyAlignment="1">
      <alignment horizontal="center"/>
    </xf>
    <xf numFmtId="2" fontId="35" fillId="14" borderId="1" xfId="0" applyNumberFormat="1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justify"/>
    </xf>
    <xf numFmtId="0" fontId="3" fillId="14" borderId="1" xfId="0" applyFont="1" applyFill="1" applyBorder="1" applyAlignment="1">
      <alignment horizontal="center"/>
    </xf>
    <xf numFmtId="166" fontId="14" fillId="14" borderId="1" xfId="0" applyNumberFormat="1" applyFont="1" applyFill="1" applyBorder="1" applyAlignment="1">
      <alignment horizontal="center"/>
    </xf>
    <xf numFmtId="2" fontId="14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vertical="justify"/>
    </xf>
    <xf numFmtId="0" fontId="14" fillId="20" borderId="1" xfId="0" applyFont="1" applyFill="1" applyBorder="1" applyAlignment="1">
      <alignment horizontal="center" vertical="justify"/>
    </xf>
    <xf numFmtId="0" fontId="5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4" fillId="13" borderId="39" xfId="0" applyFont="1" applyFill="1" applyBorder="1" applyAlignment="1">
      <alignment horizontal="center"/>
    </xf>
    <xf numFmtId="0" fontId="3" fillId="13" borderId="39" xfId="0" applyFont="1" applyFill="1" applyBorder="1" applyAlignment="1">
      <alignment horizontal="center"/>
    </xf>
    <xf numFmtId="0" fontId="4" fillId="13" borderId="39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2" fontId="4" fillId="0" borderId="39" xfId="0" applyNumberFormat="1" applyFont="1" applyBorder="1" applyAlignment="1">
      <alignment horizontal="center"/>
    </xf>
    <xf numFmtId="0" fontId="33" fillId="19" borderId="0" xfId="1" applyFont="1" applyFill="1" applyAlignment="1">
      <alignment horizontal="center" wrapText="1"/>
    </xf>
    <xf numFmtId="0" fontId="32" fillId="19" borderId="0" xfId="1" applyFont="1" applyFill="1" applyAlignment="1">
      <alignment horizontal="center" vertical="center"/>
    </xf>
    <xf numFmtId="0" fontId="33" fillId="19" borderId="0" xfId="1" applyFont="1" applyFill="1" applyAlignment="1">
      <alignment horizontal="center" vertical="center" wrapText="1"/>
    </xf>
    <xf numFmtId="0" fontId="33" fillId="19" borderId="0" xfId="1" applyFont="1" applyFill="1" applyAlignment="1">
      <alignment vertical="center" wrapText="1"/>
    </xf>
    <xf numFmtId="0" fontId="33" fillId="19" borderId="44" xfId="1" applyFont="1" applyFill="1" applyBorder="1" applyAlignment="1">
      <alignment horizontal="center"/>
    </xf>
    <xf numFmtId="0" fontId="33" fillId="0" borderId="44" xfId="1" applyFont="1" applyBorder="1" applyAlignment="1">
      <alignment horizontal="center" vertical="center" wrapText="1"/>
    </xf>
    <xf numFmtId="0" fontId="33" fillId="19" borderId="39" xfId="1" applyFont="1" applyFill="1" applyBorder="1" applyAlignment="1">
      <alignment horizontal="center"/>
    </xf>
    <xf numFmtId="0" fontId="33" fillId="0" borderId="39" xfId="1" applyFont="1" applyBorder="1" applyAlignment="1">
      <alignment horizontal="center" vertical="center" wrapText="1"/>
    </xf>
    <xf numFmtId="0" fontId="37" fillId="0" borderId="0" xfId="1"/>
    <xf numFmtId="0" fontId="33" fillId="0" borderId="39" xfId="1" applyFont="1" applyBorder="1" applyAlignment="1">
      <alignment horizontal="center"/>
    </xf>
    <xf numFmtId="0" fontId="33" fillId="0" borderId="39" xfId="1" applyFont="1" applyBorder="1" applyAlignment="1">
      <alignment horizontal="center" vertical="center"/>
    </xf>
    <xf numFmtId="2" fontId="37" fillId="0" borderId="0" xfId="1" applyNumberFormat="1"/>
    <xf numFmtId="165" fontId="33" fillId="19" borderId="39" xfId="1" applyNumberFormat="1" applyFont="1" applyFill="1" applyBorder="1" applyAlignment="1">
      <alignment horizontal="center"/>
    </xf>
    <xf numFmtId="0" fontId="37" fillId="0" borderId="0" xfId="1" applyAlignment="1">
      <alignment horizontal="center"/>
    </xf>
    <xf numFmtId="0" fontId="32" fillId="0" borderId="0" xfId="1" applyFont="1" applyAlignment="1">
      <alignment horizontal="center"/>
    </xf>
    <xf numFmtId="0" fontId="32" fillId="0" borderId="0" xfId="1" applyFont="1" applyAlignment="1">
      <alignment horizontal="center" vertical="center"/>
    </xf>
    <xf numFmtId="2" fontId="33" fillId="0" borderId="0" xfId="1" applyNumberFormat="1" applyFont="1" applyAlignment="1">
      <alignment horizontal="center"/>
    </xf>
    <xf numFmtId="2" fontId="32" fillId="0" borderId="0" xfId="1" applyNumberFormat="1" applyFont="1" applyAlignment="1">
      <alignment horizontal="center"/>
    </xf>
    <xf numFmtId="0" fontId="33" fillId="0" borderId="0" xfId="1" applyFont="1" applyAlignment="1">
      <alignment horizontal="center" vertical="center" wrapText="1"/>
    </xf>
    <xf numFmtId="0" fontId="33" fillId="0" borderId="42" xfId="1" applyFont="1" applyBorder="1" applyAlignment="1">
      <alignment horizontal="left" vertical="justify"/>
    </xf>
    <xf numFmtId="0" fontId="33" fillId="0" borderId="42" xfId="1" applyFont="1" applyBorder="1" applyAlignment="1">
      <alignment horizontal="center" vertical="center" wrapText="1"/>
    </xf>
    <xf numFmtId="0" fontId="37" fillId="22" borderId="0" xfId="1" applyFill="1"/>
    <xf numFmtId="165" fontId="33" fillId="0" borderId="42" xfId="1" applyNumberFormat="1" applyFont="1" applyBorder="1" applyAlignment="1">
      <alignment horizontal="center"/>
    </xf>
    <xf numFmtId="0" fontId="36" fillId="25" borderId="42" xfId="1" applyFont="1" applyFill="1" applyBorder="1"/>
    <xf numFmtId="0" fontId="33" fillId="0" borderId="42" xfId="1" applyFont="1" applyBorder="1" applyAlignment="1">
      <alignment horizontal="center"/>
    </xf>
    <xf numFmtId="2" fontId="33" fillId="23" borderId="0" xfId="1" applyNumberFormat="1" applyFont="1" applyFill="1" applyAlignment="1">
      <alignment horizontal="center" wrapText="1"/>
    </xf>
    <xf numFmtId="2" fontId="37" fillId="15" borderId="0" xfId="1" applyNumberFormat="1" applyFill="1"/>
    <xf numFmtId="0" fontId="37" fillId="23" borderId="0" xfId="1" applyFill="1"/>
    <xf numFmtId="0" fontId="37" fillId="15" borderId="0" xfId="1" applyFill="1"/>
    <xf numFmtId="0" fontId="37" fillId="24" borderId="39" xfId="1" applyFill="1" applyBorder="1"/>
    <xf numFmtId="0" fontId="33" fillId="25" borderId="44" xfId="1" applyFont="1" applyFill="1" applyBorder="1" applyAlignment="1">
      <alignment horizontal="center" vertical="center" wrapText="1"/>
    </xf>
    <xf numFmtId="0" fontId="33" fillId="0" borderId="47" xfId="1" applyFont="1" applyBorder="1" applyAlignment="1">
      <alignment horizontal="center" vertical="center" wrapText="1"/>
    </xf>
    <xf numFmtId="0" fontId="33" fillId="0" borderId="0" xfId="1" applyFont="1" applyAlignment="1">
      <alignment vertical="center" wrapText="1"/>
    </xf>
    <xf numFmtId="0" fontId="33" fillId="22" borderId="0" xfId="1" applyFont="1" applyFill="1" applyAlignment="1">
      <alignment horizontal="center" vertical="center" wrapText="1"/>
    </xf>
    <xf numFmtId="0" fontId="33" fillId="24" borderId="0" xfId="1" applyFont="1" applyFill="1" applyAlignment="1">
      <alignment horizontal="center" vertical="center" wrapText="1"/>
    </xf>
    <xf numFmtId="1" fontId="33" fillId="19" borderId="39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justify"/>
    </xf>
    <xf numFmtId="0" fontId="3" fillId="0" borderId="2" xfId="0" applyFont="1" applyBorder="1" applyAlignment="1">
      <alignment horizontal="center" vertical="justify"/>
    </xf>
    <xf numFmtId="0" fontId="3" fillId="0" borderId="3" xfId="0" applyFont="1" applyBorder="1" applyAlignment="1">
      <alignment horizontal="center" vertical="justify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2" fontId="3" fillId="0" borderId="1" xfId="0" applyNumberFormat="1" applyFont="1" applyBorder="1" applyAlignment="1">
      <alignment horizontal="center" vertical="justify"/>
    </xf>
    <xf numFmtId="2" fontId="3" fillId="0" borderId="5" xfId="0" applyNumberFormat="1" applyFont="1" applyBorder="1" applyAlignment="1">
      <alignment horizontal="center" vertical="justify"/>
    </xf>
    <xf numFmtId="0" fontId="3" fillId="2" borderId="1" xfId="0" applyFont="1" applyFill="1" applyBorder="1" applyAlignment="1">
      <alignment horizontal="left" vertical="justify"/>
    </xf>
    <xf numFmtId="0" fontId="3" fillId="2" borderId="2" xfId="0" applyFont="1" applyFill="1" applyBorder="1" applyAlignment="1">
      <alignment horizontal="left" vertical="justify"/>
    </xf>
    <xf numFmtId="0" fontId="3" fillId="2" borderId="3" xfId="0" applyFont="1" applyFill="1" applyBorder="1" applyAlignment="1">
      <alignment horizontal="left" vertical="justify"/>
    </xf>
    <xf numFmtId="0" fontId="3" fillId="0" borderId="1" xfId="0" applyFont="1" applyBorder="1" applyAlignment="1">
      <alignment vertical="justify"/>
    </xf>
    <xf numFmtId="0" fontId="3" fillId="0" borderId="5" xfId="0" applyFont="1" applyBorder="1" applyAlignment="1">
      <alignment vertical="justify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justify"/>
    </xf>
    <xf numFmtId="9" fontId="3" fillId="0" borderId="5" xfId="0" applyNumberFormat="1" applyFont="1" applyBorder="1" applyAlignment="1">
      <alignment horizontal="center" vertical="justify"/>
    </xf>
    <xf numFmtId="164" fontId="3" fillId="0" borderId="1" xfId="0" applyNumberFormat="1" applyFont="1" applyBorder="1" applyAlignment="1">
      <alignment horizontal="center" vertical="justify"/>
    </xf>
    <xf numFmtId="164" fontId="3" fillId="0" borderId="5" xfId="0" applyNumberFormat="1" applyFont="1" applyBorder="1" applyAlignment="1">
      <alignment horizontal="center" vertical="justify"/>
    </xf>
    <xf numFmtId="0" fontId="3" fillId="0" borderId="5" xfId="0" applyFont="1" applyBorder="1" applyAlignment="1">
      <alignment horizontal="center" vertical="justify"/>
    </xf>
    <xf numFmtId="11" fontId="4" fillId="2" borderId="1" xfId="0" applyNumberFormat="1" applyFont="1" applyFill="1" applyBorder="1"/>
    <xf numFmtId="11" fontId="4" fillId="2" borderId="2" xfId="0" applyNumberFormat="1" applyFont="1" applyFill="1" applyBorder="1"/>
    <xf numFmtId="11" fontId="4" fillId="2" borderId="3" xfId="0" applyNumberFormat="1" applyFont="1" applyFill="1" applyBorder="1"/>
    <xf numFmtId="0" fontId="3" fillId="0" borderId="3" xfId="0" applyFont="1" applyBorder="1" applyAlignment="1">
      <alignment vertical="justify"/>
    </xf>
    <xf numFmtId="2" fontId="3" fillId="0" borderId="1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4" fillId="0" borderId="1" xfId="0" applyFont="1" applyBorder="1" applyAlignment="1">
      <alignment horizontal="left" vertical="justify"/>
    </xf>
    <xf numFmtId="0" fontId="14" fillId="0" borderId="2" xfId="0" applyFont="1" applyBorder="1" applyAlignment="1">
      <alignment horizontal="left" vertical="justify"/>
    </xf>
    <xf numFmtId="0" fontId="14" fillId="0" borderId="3" xfId="0" applyFont="1" applyBorder="1" applyAlignment="1">
      <alignment horizontal="left" vertical="justify"/>
    </xf>
    <xf numFmtId="0" fontId="3" fillId="0" borderId="2" xfId="0" applyFont="1" applyBorder="1" applyAlignment="1">
      <alignment vertical="justify"/>
    </xf>
    <xf numFmtId="0" fontId="14" fillId="4" borderId="1" xfId="0" applyFont="1" applyFill="1" applyBorder="1" applyAlignment="1">
      <alignment horizontal="left" vertical="justify"/>
    </xf>
    <xf numFmtId="0" fontId="14" fillId="4" borderId="2" xfId="0" applyFont="1" applyFill="1" applyBorder="1" applyAlignment="1">
      <alignment horizontal="left" vertical="justify"/>
    </xf>
    <xf numFmtId="0" fontId="14" fillId="4" borderId="3" xfId="0" applyFont="1" applyFill="1" applyBorder="1" applyAlignment="1">
      <alignment horizontal="left" vertical="justify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14" fillId="7" borderId="1" xfId="0" applyFont="1" applyFill="1" applyBorder="1" applyAlignment="1">
      <alignment horizontal="left" vertical="justify"/>
    </xf>
    <xf numFmtId="0" fontId="14" fillId="7" borderId="2" xfId="0" applyFont="1" applyFill="1" applyBorder="1" applyAlignment="1">
      <alignment horizontal="left" vertical="justify"/>
    </xf>
    <xf numFmtId="0" fontId="14" fillId="7" borderId="3" xfId="0" applyFont="1" applyFill="1" applyBorder="1" applyAlignment="1">
      <alignment horizontal="left" vertical="justify"/>
    </xf>
    <xf numFmtId="0" fontId="14" fillId="5" borderId="1" xfId="0" applyFont="1" applyFill="1" applyBorder="1" applyAlignment="1">
      <alignment horizontal="left"/>
    </xf>
    <xf numFmtId="0" fontId="14" fillId="5" borderId="2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1" fontId="3" fillId="0" borderId="1" xfId="0" applyNumberFormat="1" applyFont="1" applyBorder="1" applyAlignment="1">
      <alignment vertical="justify"/>
    </xf>
    <xf numFmtId="1" fontId="3" fillId="0" borderId="4" xfId="0" applyNumberFormat="1" applyFont="1" applyBorder="1" applyAlignment="1">
      <alignment vertical="justify"/>
    </xf>
    <xf numFmtId="1" fontId="3" fillId="0" borderId="5" xfId="0" applyNumberFormat="1" applyFont="1" applyBorder="1" applyAlignment="1">
      <alignment vertical="justify"/>
    </xf>
    <xf numFmtId="0" fontId="3" fillId="0" borderId="4" xfId="0" applyFont="1" applyBorder="1" applyAlignment="1">
      <alignment vertical="justify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9" fontId="14" fillId="4" borderId="1" xfId="0" applyNumberFormat="1" applyFont="1" applyFill="1" applyBorder="1" applyAlignment="1">
      <alignment horizontal="left" vertical="justify"/>
    </xf>
    <xf numFmtId="49" fontId="14" fillId="4" borderId="2" xfId="0" applyNumberFormat="1" applyFont="1" applyFill="1" applyBorder="1" applyAlignment="1">
      <alignment horizontal="left" vertical="justify"/>
    </xf>
    <xf numFmtId="49" fontId="14" fillId="4" borderId="3" xfId="0" applyNumberFormat="1" applyFont="1" applyFill="1" applyBorder="1" applyAlignment="1">
      <alignment horizontal="left" vertical="justify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vertical="justify"/>
    </xf>
    <xf numFmtId="0" fontId="3" fillId="2" borderId="5" xfId="0" applyFont="1" applyFill="1" applyBorder="1" applyAlignment="1">
      <alignment vertical="justify"/>
    </xf>
    <xf numFmtId="0" fontId="3" fillId="2" borderId="2" xfId="0" applyFont="1" applyFill="1" applyBorder="1" applyAlignment="1">
      <alignment vertical="justify"/>
    </xf>
    <xf numFmtId="0" fontId="3" fillId="2" borderId="3" xfId="0" applyFont="1" applyFill="1" applyBorder="1" applyAlignment="1">
      <alignment vertical="justify"/>
    </xf>
    <xf numFmtId="2" fontId="3" fillId="6" borderId="1" xfId="0" applyNumberFormat="1" applyFont="1" applyFill="1" applyBorder="1" applyAlignment="1">
      <alignment horizontal="center" vertical="justify"/>
    </xf>
    <xf numFmtId="2" fontId="3" fillId="6" borderId="5" xfId="0" applyNumberFormat="1" applyFont="1" applyFill="1" applyBorder="1" applyAlignment="1">
      <alignment horizontal="center" vertical="justify"/>
    </xf>
    <xf numFmtId="0" fontId="14" fillId="0" borderId="1" xfId="0" applyFont="1" applyBorder="1" applyAlignment="1">
      <alignment horizontal="center" vertical="justify"/>
    </xf>
    <xf numFmtId="0" fontId="14" fillId="0" borderId="2" xfId="0" applyFont="1" applyBorder="1" applyAlignment="1">
      <alignment horizontal="center" vertical="justify"/>
    </xf>
    <xf numFmtId="0" fontId="14" fillId="0" borderId="3" xfId="0" applyFont="1" applyBorder="1" applyAlignment="1">
      <alignment horizontal="center" vertical="justify"/>
    </xf>
    <xf numFmtId="0" fontId="14" fillId="4" borderId="1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14" fillId="4" borderId="5" xfId="0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justify"/>
    </xf>
    <xf numFmtId="0" fontId="14" fillId="4" borderId="4" xfId="0" applyFont="1" applyFill="1" applyBorder="1" applyAlignment="1">
      <alignment horizontal="center" vertical="justify"/>
    </xf>
    <xf numFmtId="0" fontId="14" fillId="4" borderId="5" xfId="0" applyFont="1" applyFill="1" applyBorder="1" applyAlignment="1">
      <alignment horizontal="center" vertical="justify"/>
    </xf>
    <xf numFmtId="0" fontId="45" fillId="21" borderId="39" xfId="1" applyFont="1" applyFill="1" applyBorder="1" applyAlignment="1">
      <alignment horizontal="left" vertical="center" wrapText="1"/>
    </xf>
    <xf numFmtId="0" fontId="33" fillId="0" borderId="39" xfId="1" applyFont="1" applyBorder="1" applyAlignment="1">
      <alignment horizontal="left" vertical="center" wrapText="1"/>
    </xf>
    <xf numFmtId="0" fontId="33" fillId="0" borderId="39" xfId="1" applyFont="1" applyBorder="1" applyAlignment="1">
      <alignment horizontal="center" vertical="center" wrapText="1"/>
    </xf>
    <xf numFmtId="0" fontId="33" fillId="19" borderId="39" xfId="1" applyFont="1" applyFill="1" applyBorder="1" applyAlignment="1">
      <alignment horizontal="center"/>
    </xf>
    <xf numFmtId="0" fontId="33" fillId="0" borderId="44" xfId="1" applyFont="1" applyBorder="1" applyAlignment="1">
      <alignment horizontal="center" vertical="justify" wrapText="1"/>
    </xf>
    <xf numFmtId="0" fontId="33" fillId="0" borderId="46" xfId="1" applyFont="1" applyBorder="1" applyAlignment="1">
      <alignment horizontal="center" vertical="justify" wrapText="1"/>
    </xf>
    <xf numFmtId="0" fontId="45" fillId="19" borderId="39" xfId="1" applyFont="1" applyFill="1" applyBorder="1" applyAlignment="1">
      <alignment horizontal="left" vertical="center" wrapText="1"/>
    </xf>
    <xf numFmtId="2" fontId="4" fillId="2" borderId="1" xfId="0" applyNumberFormat="1" applyFont="1" applyFill="1" applyBorder="1"/>
    <xf numFmtId="2" fontId="4" fillId="2" borderId="2" xfId="0" applyNumberFormat="1" applyFont="1" applyFill="1" applyBorder="1"/>
    <xf numFmtId="2" fontId="4" fillId="2" borderId="3" xfId="0" applyNumberFormat="1" applyFont="1" applyFill="1" applyBorder="1"/>
    <xf numFmtId="0" fontId="4" fillId="13" borderId="1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2" fillId="2" borderId="39" xfId="0" applyFont="1" applyFill="1" applyBorder="1"/>
    <xf numFmtId="0" fontId="4" fillId="2" borderId="39" xfId="0" applyFont="1" applyFill="1" applyBorder="1" applyAlignment="1">
      <alignment horizontal="center"/>
    </xf>
    <xf numFmtId="0" fontId="14" fillId="0" borderId="0" xfId="0" applyFont="1"/>
    <xf numFmtId="0" fontId="14" fillId="4" borderId="1" xfId="0" applyFont="1" applyFill="1" applyBorder="1" applyAlignment="1">
      <alignment vertical="justify"/>
    </xf>
    <xf numFmtId="0" fontId="14" fillId="4" borderId="5" xfId="0" applyFont="1" applyFill="1" applyBorder="1" applyAlignment="1">
      <alignment vertical="justify"/>
    </xf>
    <xf numFmtId="0" fontId="14" fillId="4" borderId="1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16" xfId="0" applyFont="1" applyBorder="1"/>
    <xf numFmtId="0" fontId="14" fillId="0" borderId="17" xfId="0" applyFont="1" applyBorder="1"/>
    <xf numFmtId="0" fontId="14" fillId="0" borderId="18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4" borderId="4" xfId="0" applyFont="1" applyFill="1" applyBorder="1" applyAlignment="1">
      <alignment vertical="justify"/>
    </xf>
    <xf numFmtId="0" fontId="14" fillId="4" borderId="1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 vertical="justify"/>
    </xf>
    <xf numFmtId="0" fontId="14" fillId="4" borderId="13" xfId="0" applyFont="1" applyFill="1" applyBorder="1" applyAlignment="1">
      <alignment horizontal="center" vertical="justify"/>
    </xf>
    <xf numFmtId="0" fontId="14" fillId="4" borderId="14" xfId="0" applyFont="1" applyFill="1" applyBorder="1" applyAlignment="1">
      <alignment horizontal="center" vertical="justify"/>
    </xf>
    <xf numFmtId="0" fontId="14" fillId="0" borderId="24" xfId="0" applyFont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center" wrapText="1"/>
    </xf>
    <xf numFmtId="0" fontId="14" fillId="2" borderId="32" xfId="0" applyFont="1" applyFill="1" applyBorder="1" applyAlignment="1">
      <alignment horizontal="center"/>
    </xf>
    <xf numFmtId="0" fontId="14" fillId="2" borderId="3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14" borderId="39" xfId="0" applyFont="1" applyFill="1" applyBorder="1"/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5" xfId="0" applyFont="1" applyBorder="1" applyAlignment="1">
      <alignment horizontal="justify"/>
    </xf>
    <xf numFmtId="0" fontId="14" fillId="0" borderId="16" xfId="0" applyFont="1" applyBorder="1" applyAlignment="1">
      <alignment horizontal="justify"/>
    </xf>
    <xf numFmtId="0" fontId="14" fillId="0" borderId="17" xfId="0" applyFont="1" applyBorder="1" applyAlignment="1">
      <alignment horizontal="justify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4" fillId="0" borderId="0" xfId="0" applyFont="1" applyAlignment="1">
      <alignment horizontal="justify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35" fillId="15" borderId="3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29" xfId="0" applyFont="1" applyBorder="1" applyAlignment="1">
      <alignment horizontal="center" vertical="justify"/>
    </xf>
    <xf numFmtId="0" fontId="14" fillId="0" borderId="26" xfId="0" applyFont="1" applyBorder="1" applyAlignment="1">
      <alignment horizontal="center" vertical="justify"/>
    </xf>
    <xf numFmtId="0" fontId="14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left"/>
    </xf>
  </cellXfs>
  <cellStyles count="46">
    <cellStyle name="Гиперссылка 2" xfId="4" xr:uid="{96C7CADB-7C75-4660-BEAB-A36CD22CAADB}"/>
    <cellStyle name="Денежный 16" xfId="8" xr:uid="{6E544D5C-84A7-461F-BB06-87E0884146EB}"/>
    <cellStyle name="Денежный 2" xfId="7" xr:uid="{777DA24C-2469-4DE6-9F84-E00518D25E67}"/>
    <cellStyle name="Денежный 2 2" xfId="9" xr:uid="{380CA162-E033-49A9-8F00-BB7057356E6D}"/>
    <cellStyle name="Денежный 2 3" xfId="10" xr:uid="{27034D69-931B-4905-BCE3-285FDCF1766D}"/>
    <cellStyle name="Денежный 3" xfId="2" xr:uid="{2461611F-C179-4CFD-8403-3F2CB6A37863}"/>
    <cellStyle name="Денежный 3 2" xfId="45" xr:uid="{C63F51E5-C650-4837-A3D5-9ACB3671164E}"/>
    <cellStyle name="Денежный 4" xfId="44" xr:uid="{BBFA1971-0CA9-4895-980F-D621D0C5BC30}"/>
    <cellStyle name="Обычный" xfId="0" builtinId="0"/>
    <cellStyle name="Обычный 10" xfId="11" xr:uid="{D6AA7BB4-EDD1-41C9-A2D6-64F4E82AF39F}"/>
    <cellStyle name="Обычный 11" xfId="12" xr:uid="{7B26D8C8-408F-488C-B952-2BA0421DCB2E}"/>
    <cellStyle name="Обычный 12" xfId="13" xr:uid="{AF7B049A-5A21-4ED9-A2A7-831103C0148D}"/>
    <cellStyle name="Обычный 13" xfId="14" xr:uid="{8AD8F247-5465-4379-AEFA-53A8060C6B05}"/>
    <cellStyle name="Обычный 14" xfId="15" xr:uid="{A1CDB571-E974-4A1A-8206-F3DE2D9F76E6}"/>
    <cellStyle name="Обычный 15" xfId="16" xr:uid="{1EA479EB-F976-4863-BAA5-5C22AFB1F520}"/>
    <cellStyle name="Обычный 16" xfId="17" xr:uid="{1EDEC1AF-522D-4C88-8E79-7B47B0BAE4DB}"/>
    <cellStyle name="Обычный 17" xfId="1" xr:uid="{88A286EB-7F33-47AF-8BCE-E3987B8BCA80}"/>
    <cellStyle name="Обычный 2" xfId="5" xr:uid="{EF445984-C7F7-491B-8D03-9A846CD3BB53}"/>
    <cellStyle name="Обычный 2 10" xfId="18" xr:uid="{E16ED574-7F28-408D-986F-F3A9B35C9E63}"/>
    <cellStyle name="Обычный 2 11" xfId="19" xr:uid="{1C5ADA14-81FC-46E4-A127-82BFE1CE7EE5}"/>
    <cellStyle name="Обычный 2 12" xfId="20" xr:uid="{F1976C4C-24F9-4356-ACA8-17BEC9206FA8}"/>
    <cellStyle name="Обычный 2 13" xfId="21" xr:uid="{E7C5F274-D081-4A08-BA44-7C7F360E5B0C}"/>
    <cellStyle name="Обычный 2 14" xfId="22" xr:uid="{C158DB39-426F-4332-86F8-498D1A2B0E60}"/>
    <cellStyle name="Обычный 2 15" xfId="23" xr:uid="{01FF57FA-3359-482C-9EE8-54B104F03251}"/>
    <cellStyle name="Обычный 2 16" xfId="24" xr:uid="{7DF32FEF-362F-4D4B-B56B-2E2BA9745B9E}"/>
    <cellStyle name="Обычный 2 2" xfId="25" xr:uid="{69316A31-868C-4E8E-AA3E-972ADB5C82C0}"/>
    <cellStyle name="Обычный 2 3" xfId="26" xr:uid="{42D9D784-9DD3-4A28-8D56-FA97D5D87908}"/>
    <cellStyle name="Обычный 2 4" xfId="27" xr:uid="{8CDA9DB7-0334-4995-89D2-81FCFDF0CBEA}"/>
    <cellStyle name="Обычный 2 5" xfId="28" xr:uid="{2D4EF1FC-08E4-41B8-9B49-04DDC390C3A4}"/>
    <cellStyle name="Обычный 2 6" xfId="29" xr:uid="{EF19425A-6A4F-4492-8624-D31F07F16455}"/>
    <cellStyle name="Обычный 2 7" xfId="30" xr:uid="{84276C79-8D51-4D4A-87B9-D2D132D9A287}"/>
    <cellStyle name="Обычный 2 8" xfId="31" xr:uid="{DF5AC235-63F5-4557-B56D-306EBF5D2367}"/>
    <cellStyle name="Обычный 2 9" xfId="32" xr:uid="{DB2FCFB9-B6DC-447A-BE8D-AD209BB32F2C}"/>
    <cellStyle name="Обычный 3" xfId="6" xr:uid="{FBB7406D-58C1-4AD7-9BFD-939B9CBFDF72}"/>
    <cellStyle name="Обычный 3 2" xfId="43" xr:uid="{205FE35F-2F93-4AF5-930A-ED9B78B2F0B4}"/>
    <cellStyle name="Обычный 4" xfId="33" xr:uid="{78379C01-3992-4963-9588-962BD104DFC8}"/>
    <cellStyle name="Обычный 5" xfId="34" xr:uid="{41641C11-1151-4C79-AFE0-EB6C7EEFE13B}"/>
    <cellStyle name="Обычный 6" xfId="35" xr:uid="{F929AA3B-6D5E-4A39-AC3F-AB4D06D2E858}"/>
    <cellStyle name="Обычный 7" xfId="36" xr:uid="{B5561AED-E5B5-43E1-A252-BF9CF413FFFA}"/>
    <cellStyle name="Обычный 8" xfId="37" xr:uid="{B756B4BC-DFA7-406F-B678-9BC1AF817A27}"/>
    <cellStyle name="Обычный 9" xfId="38" xr:uid="{1F03427E-D216-4C84-B268-5591E44B68E7}"/>
    <cellStyle name="Процентный 16" xfId="40" xr:uid="{8F505571-61D3-41FA-AC91-260F5CF91851}"/>
    <cellStyle name="Процентный 2" xfId="39" xr:uid="{544478FD-4008-4C18-80D7-C3B7615C69E7}"/>
    <cellStyle name="Процентный 2 2" xfId="41" xr:uid="{0D9742AB-A62F-4A2C-AC32-21F7C9A8C3DA}"/>
    <cellStyle name="Процентный 2 3" xfId="42" xr:uid="{4E97DA2A-DD94-422C-9209-39098A563E4C}"/>
    <cellStyle name="Процентный 3" xfId="3" xr:uid="{AC3F9E82-D25F-4C41-B98D-26719FCBA91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73559" y="6877050"/>
    <xdr:ext cx="28575" cy="5810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3291689" y="6696075"/>
    <xdr:ext cx="1868333" cy="6572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2407197" y="5724525"/>
    <xdr:ext cx="3937739" cy="7143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368809" y="6134100"/>
    <xdr:ext cx="422053" cy="5810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&#1042;&#1072;&#1083;&#1077;&#1088;&#1072;/Downloads/&#1055;&#1088;&#1080;&#1084;&#1077;&#1088;%20&#1058;&#1069;&#1056;%20&#1080;%20&#1082;&#1086;&#1084;&#1087;&#1077;&#1085;&#1089;&#1072;&#1094;&#1080;&#1080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hs\OneDrive\&#1056;&#1072;&#1073;&#1086;&#1095;&#1080;&#1081;%20&#1089;&#1090;&#1086;&#1083;\&#1085;&#1072;%20&#1092;&#1083;&#1077;&#1096;&#1082;&#1091;\&#1056;&#1040;&#1057;&#1063;&#1045;&#1058;&#1067;%20&#1042;%20EXCEL.xlsx" TargetMode="External"/><Relationship Id="rId1" Type="http://schemas.openxmlformats.org/officeDocument/2006/relationships/externalLinkPath" Target="/Users/luchs/OneDrive/&#1056;&#1072;&#1073;&#1086;&#1095;&#1080;&#1081;%20&#1089;&#1090;&#1086;&#1083;/&#1085;&#1072;%20&#1092;&#1083;&#1077;&#1096;&#1082;&#1091;/&#1056;&#1040;&#1057;&#1063;&#1045;&#1058;&#1067;%20&#1042;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202-90-0,4"/>
      <sheetName val="Ф202-90-10кВ"/>
      <sheetName val="КЗ 10 по ТП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ЦЕХ"/>
      <sheetName val="СВЕТ"/>
      <sheetName val="0,4"/>
      <sheetName val="Защ. аппаратура 0,4кВ"/>
      <sheetName val="Потери цех тр-ров"/>
      <sheetName val="КАРТОГРАММА"/>
      <sheetName val="ТЭР"/>
      <sheetName val="ТЭР новый"/>
      <sheetName val="Потери ГПП"/>
      <sheetName val="кабели"/>
      <sheetName val="Ток 0,4 кВ"/>
      <sheetName val="Ф202-90-10кВ"/>
      <sheetName val="КЗ 10 по ТП"/>
      <sheetName val="Ф-202-90-0,4"/>
      <sheetName val="Выключатели 10"/>
      <sheetName val="Шин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D4">
            <v>64.17771673907481</v>
          </cell>
        </row>
        <row r="5">
          <cell r="D5">
            <v>65.004385423000173</v>
          </cell>
        </row>
        <row r="6">
          <cell r="D6">
            <v>65.151341924887362</v>
          </cell>
        </row>
        <row r="7">
          <cell r="D7">
            <v>66.058423373204505</v>
          </cell>
        </row>
        <row r="9">
          <cell r="D9">
            <v>66.902162277884827</v>
          </cell>
        </row>
        <row r="10">
          <cell r="D10">
            <v>66.902162277884827</v>
          </cell>
        </row>
      </sheetData>
      <sheetData sheetId="10">
        <row r="6">
          <cell r="M6">
            <v>5.9044720076104529</v>
          </cell>
          <cell r="O6">
            <v>5.9079857035806729</v>
          </cell>
        </row>
        <row r="7">
          <cell r="M7">
            <v>5.6768214047373249</v>
          </cell>
          <cell r="O7">
            <v>5.6803854450508293</v>
          </cell>
        </row>
        <row r="8">
          <cell r="M8">
            <v>5.9580823245043835</v>
          </cell>
          <cell r="O8">
            <v>5.9614906455495102</v>
          </cell>
        </row>
        <row r="9">
          <cell r="M9">
            <v>6.0243770367046263</v>
          </cell>
          <cell r="O9">
            <v>6.0278105990912447</v>
          </cell>
        </row>
      </sheetData>
      <sheetData sheetId="11">
        <row r="17">
          <cell r="G17">
            <v>2698.603313880843</v>
          </cell>
        </row>
      </sheetData>
      <sheetData sheetId="12">
        <row r="4">
          <cell r="L4">
            <v>7.2732261612746818</v>
          </cell>
        </row>
        <row r="48">
          <cell r="H48">
            <v>8.9764665433520978</v>
          </cell>
        </row>
        <row r="49">
          <cell r="H49">
            <v>20.409899697218187</v>
          </cell>
        </row>
      </sheetData>
      <sheetData sheetId="13">
        <row r="15">
          <cell r="E15">
            <v>2220.5489991719887</v>
          </cell>
        </row>
        <row r="26">
          <cell r="E26">
            <v>2249.1517356358058</v>
          </cell>
        </row>
        <row r="35">
          <cell r="E35">
            <v>1127.1182153005514</v>
          </cell>
        </row>
        <row r="45">
          <cell r="E45">
            <v>2285.6214487128759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romled.com/groza-300-l-v2-5000k-155&#215;70gr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bystrokabel.ru/item/aashv-10kv/aashv-3h50---10kv" TargetMode="External"/><Relationship Id="rId2" Type="http://schemas.openxmlformats.org/officeDocument/2006/relationships/hyperlink" Target="https://bystrokabel.ru/item/aashv-10kv/aashv-3h50---10kv" TargetMode="External"/><Relationship Id="rId1" Type="http://schemas.openxmlformats.org/officeDocument/2006/relationships/hyperlink" Target="https://bystrokabel.ru/item/aashv-10kv/aashv-3h50---10kv" TargetMode="External"/><Relationship Id="rId4" Type="http://schemas.openxmlformats.org/officeDocument/2006/relationships/hyperlink" Target="https://k-ps.ru/spravochnik/kabeli-silovyie/s-bumajnoi-izolyaciei/aashv-10kv/kabel-aashv-3x240.htm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topLeftCell="A12" workbookViewId="0">
      <selection activeCell="L14" sqref="L14"/>
    </sheetView>
  </sheetViews>
  <sheetFormatPr defaultColWidth="9.140625" defaultRowHeight="15" x14ac:dyDescent="0.25"/>
  <cols>
    <col min="1" max="1" width="45.140625" customWidth="1"/>
    <col min="4" max="4" width="8.85546875" customWidth="1"/>
    <col min="10" max="10" width="13.7109375" customWidth="1"/>
    <col min="11" max="11" width="9.85546875" bestFit="1" customWidth="1"/>
    <col min="13" max="13" width="8.85546875" customWidth="1"/>
    <col min="16" max="16" width="10" customWidth="1"/>
  </cols>
  <sheetData>
    <row r="1" spans="1:18" ht="15.75" x14ac:dyDescent="0.25">
      <c r="A1" s="479" t="s">
        <v>0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1"/>
      <c r="P1" s="1"/>
    </row>
    <row r="2" spans="1:18" ht="15.75" x14ac:dyDescent="0.25">
      <c r="A2" s="479" t="s">
        <v>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1"/>
      <c r="P2" s="1"/>
    </row>
    <row r="3" spans="1:18" ht="15.75" x14ac:dyDescent="0.25">
      <c r="A3" s="482" t="s">
        <v>2</v>
      </c>
      <c r="B3" s="483"/>
      <c r="C3" s="483"/>
      <c r="D3" s="483"/>
      <c r="E3" s="483"/>
      <c r="F3" s="483"/>
      <c r="G3" s="484"/>
      <c r="H3" s="482" t="s">
        <v>3</v>
      </c>
      <c r="I3" s="484"/>
      <c r="J3" s="504" t="s">
        <v>4</v>
      </c>
      <c r="K3" s="501" t="s">
        <v>5</v>
      </c>
      <c r="L3" s="498" t="s">
        <v>6</v>
      </c>
      <c r="M3" s="482" t="s">
        <v>7</v>
      </c>
      <c r="N3" s="483"/>
      <c r="O3" s="484"/>
      <c r="P3" s="495" t="s">
        <v>8</v>
      </c>
    </row>
    <row r="4" spans="1:18" ht="15.75" x14ac:dyDescent="0.25">
      <c r="A4" s="482" t="s">
        <v>9</v>
      </c>
      <c r="B4" s="483"/>
      <c r="C4" s="483"/>
      <c r="D4" s="484"/>
      <c r="E4" s="482" t="s">
        <v>10</v>
      </c>
      <c r="F4" s="483"/>
      <c r="G4" s="484"/>
      <c r="H4" s="482" t="s">
        <v>11</v>
      </c>
      <c r="I4" s="482" t="s">
        <v>12</v>
      </c>
      <c r="J4" s="505"/>
      <c r="K4" s="502"/>
      <c r="L4" s="499"/>
      <c r="M4" s="482" t="s">
        <v>13</v>
      </c>
      <c r="N4" s="507" t="s">
        <v>14</v>
      </c>
      <c r="O4" s="509" t="s">
        <v>15</v>
      </c>
      <c r="P4" s="496"/>
    </row>
    <row r="5" spans="1:18" ht="18.75" x14ac:dyDescent="0.3">
      <c r="A5" s="504" t="s">
        <v>16</v>
      </c>
      <c r="B5" s="493" t="s">
        <v>17</v>
      </c>
      <c r="C5" s="493" t="s">
        <v>18</v>
      </c>
      <c r="D5" s="515"/>
      <c r="E5" s="488" t="s">
        <v>19</v>
      </c>
      <c r="F5" s="516" t="s">
        <v>20</v>
      </c>
      <c r="G5" s="516" t="s">
        <v>21</v>
      </c>
      <c r="H5" s="511"/>
      <c r="I5" s="511"/>
      <c r="J5" s="505"/>
      <c r="K5" s="502"/>
      <c r="L5" s="499"/>
      <c r="M5" s="511"/>
      <c r="N5" s="508"/>
      <c r="O5" s="510"/>
      <c r="P5" s="496"/>
      <c r="R5" s="6" t="s">
        <v>22</v>
      </c>
    </row>
    <row r="6" spans="1:18" ht="47.25" x14ac:dyDescent="0.25">
      <c r="A6" s="506"/>
      <c r="B6" s="494"/>
      <c r="C6" s="2" t="s">
        <v>23</v>
      </c>
      <c r="D6" s="4" t="s">
        <v>24</v>
      </c>
      <c r="E6" s="489"/>
      <c r="F6" s="517"/>
      <c r="G6" s="517"/>
      <c r="H6" s="2" t="s">
        <v>25</v>
      </c>
      <c r="I6" s="2" t="s">
        <v>26</v>
      </c>
      <c r="J6" s="506"/>
      <c r="K6" s="503"/>
      <c r="L6" s="500"/>
      <c r="M6" s="3" t="s">
        <v>27</v>
      </c>
      <c r="N6" s="3" t="s">
        <v>28</v>
      </c>
      <c r="O6" s="3" t="s">
        <v>29</v>
      </c>
      <c r="P6" s="497"/>
      <c r="R6" t="s">
        <v>30</v>
      </c>
    </row>
    <row r="7" spans="1:18" ht="15.75" x14ac:dyDescent="0.25">
      <c r="A7" s="2">
        <v>2</v>
      </c>
      <c r="B7" s="2">
        <v>3</v>
      </c>
      <c r="C7" s="2">
        <v>4</v>
      </c>
      <c r="D7" s="2">
        <v>5</v>
      </c>
      <c r="E7" s="2">
        <v>6</v>
      </c>
      <c r="F7" s="7">
        <v>7</v>
      </c>
      <c r="G7" s="2">
        <v>9</v>
      </c>
      <c r="H7" s="2">
        <v>8</v>
      </c>
      <c r="I7" s="2">
        <v>9</v>
      </c>
      <c r="J7" s="2">
        <v>10</v>
      </c>
      <c r="K7" s="2">
        <v>11</v>
      </c>
      <c r="L7" s="2">
        <v>12</v>
      </c>
      <c r="M7" s="2">
        <v>13</v>
      </c>
      <c r="N7" s="2">
        <v>14</v>
      </c>
      <c r="O7" s="2">
        <v>15</v>
      </c>
      <c r="P7" s="8">
        <v>16</v>
      </c>
    </row>
    <row r="8" spans="1:18" ht="15.75" x14ac:dyDescent="0.25">
      <c r="A8" s="490" t="s">
        <v>36</v>
      </c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2"/>
    </row>
    <row r="9" spans="1:18" ht="18.75" customHeight="1" x14ac:dyDescent="0.25">
      <c r="A9" s="1" t="s">
        <v>32</v>
      </c>
      <c r="B9" s="8">
        <v>3</v>
      </c>
      <c r="C9" s="8">
        <v>15</v>
      </c>
      <c r="D9" s="8">
        <f>B9*C9</f>
        <v>45</v>
      </c>
      <c r="E9" s="3">
        <v>0.17</v>
      </c>
      <c r="F9" s="3">
        <v>0.65</v>
      </c>
      <c r="G9" s="5">
        <f>TAN(ACOS(F9))</f>
        <v>1.1691295502746664</v>
      </c>
      <c r="H9" s="5">
        <f>D9*E9</f>
        <v>7.65</v>
      </c>
      <c r="I9" s="5">
        <f>H9*G9</f>
        <v>8.9438410596011977</v>
      </c>
      <c r="J9" s="5">
        <f>B9*(C9*C9)</f>
        <v>675</v>
      </c>
      <c r="K9" s="5"/>
      <c r="L9" s="5"/>
      <c r="M9" s="5"/>
      <c r="N9" s="5"/>
      <c r="O9" s="5"/>
      <c r="P9" s="1"/>
    </row>
    <row r="10" spans="1:18" ht="18.75" customHeight="1" x14ac:dyDescent="0.25">
      <c r="A10" s="1" t="s">
        <v>33</v>
      </c>
      <c r="B10" s="8">
        <v>3</v>
      </c>
      <c r="C10" s="8">
        <v>25</v>
      </c>
      <c r="D10" s="8">
        <f>B10*C10</f>
        <v>75</v>
      </c>
      <c r="E10" s="3">
        <v>0.17</v>
      </c>
      <c r="F10" s="3">
        <v>0.65</v>
      </c>
      <c r="G10" s="5">
        <f>TAN(ACOS(F10))</f>
        <v>1.1691295502746664</v>
      </c>
      <c r="H10" s="5">
        <f>D10*E10</f>
        <v>12.750000000000002</v>
      </c>
      <c r="I10" s="5">
        <f>H10*G10</f>
        <v>14.906401766001999</v>
      </c>
      <c r="J10" s="5">
        <f>B10*(C10*C10)</f>
        <v>1875</v>
      </c>
      <c r="K10" s="5"/>
      <c r="L10" s="5"/>
      <c r="M10" s="5"/>
      <c r="N10" s="5"/>
      <c r="O10" s="5"/>
      <c r="P10" s="1"/>
    </row>
    <row r="11" spans="1:18" ht="18.75" customHeight="1" x14ac:dyDescent="0.25">
      <c r="A11" s="1" t="s">
        <v>34</v>
      </c>
      <c r="B11" s="8">
        <v>0</v>
      </c>
      <c r="C11" s="8">
        <v>0</v>
      </c>
      <c r="D11" s="8">
        <f>B11*C11</f>
        <v>0</v>
      </c>
      <c r="E11" s="3">
        <v>0</v>
      </c>
      <c r="F11" s="3">
        <v>0.5</v>
      </c>
      <c r="G11" s="5">
        <f>TAN(ACOS(F11))</f>
        <v>1.7320508075688767</v>
      </c>
      <c r="H11" s="5">
        <f>D11*E11</f>
        <v>0</v>
      </c>
      <c r="I11" s="5">
        <f>H11*G11</f>
        <v>0</v>
      </c>
      <c r="J11" s="5">
        <f>B11*(C11*C11)</f>
        <v>0</v>
      </c>
      <c r="K11" s="5"/>
      <c r="L11" s="5"/>
      <c r="M11" s="5"/>
      <c r="N11" s="5"/>
      <c r="O11" s="5"/>
      <c r="P11" s="1"/>
    </row>
    <row r="12" spans="1:18" ht="18" customHeight="1" x14ac:dyDescent="0.25">
      <c r="A12" s="1" t="s">
        <v>35</v>
      </c>
      <c r="B12" s="8">
        <f>SUM(B9:B11)</f>
        <v>6</v>
      </c>
      <c r="C12" s="8">
        <f>SUM(C9:C11)</f>
        <v>40</v>
      </c>
      <c r="D12" s="8">
        <f>SUM(D9:D11)</f>
        <v>120</v>
      </c>
      <c r="E12" s="9">
        <f>H12/D12</f>
        <v>0.17</v>
      </c>
      <c r="F12" s="9">
        <f>COS(ATAN(G12))</f>
        <v>0.65</v>
      </c>
      <c r="G12" s="5">
        <f>I12/H12</f>
        <v>1.1691295502746664</v>
      </c>
      <c r="H12" s="5">
        <f>SUM(H9:H11)</f>
        <v>20.400000000000002</v>
      </c>
      <c r="I12" s="5">
        <f>SUM(I9:I11)</f>
        <v>23.850242825603196</v>
      </c>
      <c r="J12" s="5">
        <f>SUM(J9:J11)</f>
        <v>2550</v>
      </c>
      <c r="K12" s="5">
        <f>POWER(D12, 2)/J12</f>
        <v>5.6470588235294121</v>
      </c>
      <c r="L12" s="5">
        <v>2.84</v>
      </c>
      <c r="M12" s="5">
        <f>L12*H12</f>
        <v>57.936</v>
      </c>
      <c r="N12" s="5">
        <f>IF(K12&gt;10, I12, 1.1*I12)</f>
        <v>26.235267108163519</v>
      </c>
      <c r="O12" s="5">
        <f>SQRT(POWER(M12, 2)+POWER(N12, 2))</f>
        <v>63.599287230571122</v>
      </c>
      <c r="P12" s="10">
        <f>O12/(SQRT(3)*0.4)</f>
        <v>91.797664007096415</v>
      </c>
    </row>
    <row r="13" spans="1:18" ht="18" customHeight="1" x14ac:dyDescent="0.25">
      <c r="A13" s="485" t="s">
        <v>42</v>
      </c>
      <c r="B13" s="486"/>
      <c r="C13" s="486"/>
      <c r="D13" s="486"/>
      <c r="E13" s="486"/>
      <c r="F13" s="486"/>
      <c r="G13" s="486"/>
      <c r="H13" s="486"/>
      <c r="I13" s="486"/>
      <c r="J13" s="486"/>
      <c r="K13" s="486"/>
      <c r="L13" s="486"/>
      <c r="M13" s="486"/>
      <c r="N13" s="486"/>
      <c r="O13" s="486"/>
      <c r="P13" s="487"/>
    </row>
    <row r="14" spans="1:18" ht="18" customHeight="1" x14ac:dyDescent="0.25">
      <c r="A14" s="11" t="s">
        <v>37</v>
      </c>
      <c r="B14" s="3">
        <v>10</v>
      </c>
      <c r="C14" s="3">
        <v>21</v>
      </c>
      <c r="D14" s="3">
        <f>B14*C14</f>
        <v>210</v>
      </c>
      <c r="E14" s="3">
        <v>0.12</v>
      </c>
      <c r="F14" s="3">
        <v>0.5</v>
      </c>
      <c r="G14" s="5">
        <f>TAN(ACOS(F14))</f>
        <v>1.7320508075688767</v>
      </c>
      <c r="H14" s="5">
        <f>D14*E14</f>
        <v>25.2</v>
      </c>
      <c r="I14" s="5">
        <f>H14*G14</f>
        <v>43.647680350735691</v>
      </c>
      <c r="J14" s="5">
        <f>B14*(C14*C14)</f>
        <v>4410</v>
      </c>
      <c r="K14" s="5"/>
      <c r="L14" s="5">
        <v>55.5</v>
      </c>
      <c r="M14" s="5"/>
      <c r="N14" s="5"/>
      <c r="O14" s="5"/>
      <c r="P14" s="1"/>
    </row>
    <row r="15" spans="1:18" ht="15.75" x14ac:dyDescent="0.25">
      <c r="A15" s="11" t="s">
        <v>38</v>
      </c>
      <c r="B15" s="3">
        <v>3</v>
      </c>
      <c r="C15" s="3">
        <v>4.5</v>
      </c>
      <c r="D15" s="3">
        <f>B15*C15</f>
        <v>13.5</v>
      </c>
      <c r="E15" s="3">
        <v>0.12</v>
      </c>
      <c r="F15" s="3">
        <v>0.5</v>
      </c>
      <c r="G15" s="5">
        <f>TAN(ACOS(F15))</f>
        <v>1.7320508075688767</v>
      </c>
      <c r="H15" s="5">
        <f>D15*E15</f>
        <v>1.6199999999999999</v>
      </c>
      <c r="I15" s="5">
        <f>H15*G15</f>
        <v>2.8059223082615801</v>
      </c>
      <c r="J15" s="5">
        <f>B15*(C15*C15)</f>
        <v>60.75</v>
      </c>
      <c r="K15" s="12"/>
      <c r="L15" s="5"/>
      <c r="M15" s="5"/>
      <c r="N15" s="5"/>
      <c r="O15" s="5"/>
      <c r="P15" s="13"/>
    </row>
    <row r="16" spans="1:18" ht="15.75" x14ac:dyDescent="0.25">
      <c r="A16" s="11" t="s">
        <v>39</v>
      </c>
      <c r="B16" s="3">
        <v>0</v>
      </c>
      <c r="C16" s="3">
        <v>0</v>
      </c>
      <c r="D16" s="3">
        <f>B16*C16</f>
        <v>0</v>
      </c>
      <c r="E16" s="3">
        <v>0</v>
      </c>
      <c r="F16" s="3">
        <v>0.5</v>
      </c>
      <c r="G16" s="5">
        <f>TAN(ACOS(F16))</f>
        <v>1.7320508075688767</v>
      </c>
      <c r="H16" s="5">
        <f>D16*E16</f>
        <v>0</v>
      </c>
      <c r="I16" s="5">
        <f>H16*G16</f>
        <v>0</v>
      </c>
      <c r="J16" s="5">
        <f>B16*(C16*C16)</f>
        <v>0</v>
      </c>
      <c r="K16" s="14"/>
      <c r="L16" s="14"/>
      <c r="M16" s="14"/>
      <c r="N16" s="14"/>
      <c r="O16" s="14"/>
      <c r="P16" s="1"/>
    </row>
    <row r="17" spans="1:16" ht="15.75" x14ac:dyDescent="0.25">
      <c r="A17" s="15" t="s">
        <v>40</v>
      </c>
      <c r="B17" s="3">
        <v>0</v>
      </c>
      <c r="C17" s="3">
        <v>0</v>
      </c>
      <c r="D17" s="3">
        <f>B17*C17</f>
        <v>0</v>
      </c>
      <c r="E17" s="3">
        <v>0</v>
      </c>
      <c r="F17" s="3">
        <v>0.5</v>
      </c>
      <c r="G17" s="5">
        <f>TAN(ACOS(F17))</f>
        <v>1.7320508075688767</v>
      </c>
      <c r="H17" s="5">
        <f>D17*E17</f>
        <v>0</v>
      </c>
      <c r="I17" s="5">
        <f>H17*G17</f>
        <v>0</v>
      </c>
      <c r="J17" s="5">
        <f>B17*(C17*C17)</f>
        <v>0</v>
      </c>
      <c r="K17" s="5"/>
      <c r="L17" s="5"/>
      <c r="M17" s="5"/>
      <c r="N17" s="5"/>
      <c r="O17" s="5"/>
      <c r="P17" s="1"/>
    </row>
    <row r="18" spans="1:16" ht="15.75" x14ac:dyDescent="0.25">
      <c r="A18" s="1" t="s">
        <v>41</v>
      </c>
      <c r="B18" s="8">
        <f>SUM(B14:B17)</f>
        <v>13</v>
      </c>
      <c r="C18" s="8">
        <f>SUM(C14:C17)</f>
        <v>25.5</v>
      </c>
      <c r="D18" s="3">
        <f>SUM(D14:D17)</f>
        <v>223.5</v>
      </c>
      <c r="E18" s="9">
        <f>H18/D18</f>
        <v>0.12</v>
      </c>
      <c r="F18" s="9">
        <f>COS(ATAN(G18))</f>
        <v>0.50000000000000011</v>
      </c>
      <c r="G18" s="5">
        <f>I18/H18</f>
        <v>1.7320508075688765</v>
      </c>
      <c r="H18" s="5">
        <f>SUM(H14:H17)</f>
        <v>26.82</v>
      </c>
      <c r="I18" s="5">
        <f>SUM(I14:I17)</f>
        <v>46.453602658997269</v>
      </c>
      <c r="J18" s="5">
        <f>SUM(J14:J17)</f>
        <v>4470.75</v>
      </c>
      <c r="K18" s="5">
        <f>POWER(D18, 2)/J18</f>
        <v>11.17312531454454</v>
      </c>
      <c r="L18" s="5">
        <v>2.84</v>
      </c>
      <c r="M18" s="5">
        <f>L18*H18</f>
        <v>76.16879999999999</v>
      </c>
      <c r="N18" s="5">
        <f>IF(K18&gt;10, I18, 1.1*I18)</f>
        <v>46.453602658997269</v>
      </c>
      <c r="O18" s="5">
        <f>SQRT(POWER(M18, 2)+POWER(N18, 2))</f>
        <v>89.21672092965531</v>
      </c>
      <c r="P18" s="10">
        <f>O18/(SQRT(3)*0.4)</f>
        <v>128.77324461238052</v>
      </c>
    </row>
    <row r="19" spans="1:16" ht="15.75" x14ac:dyDescent="0.25">
      <c r="A19" s="512" t="s">
        <v>46</v>
      </c>
      <c r="B19" s="513"/>
      <c r="C19" s="513"/>
      <c r="D19" s="513"/>
      <c r="E19" s="513"/>
      <c r="F19" s="513"/>
      <c r="G19" s="513"/>
      <c r="H19" s="513"/>
      <c r="I19" s="513"/>
      <c r="J19" s="513"/>
      <c r="K19" s="513"/>
      <c r="L19" s="513"/>
      <c r="M19" s="513"/>
      <c r="N19" s="513"/>
      <c r="O19" s="513"/>
      <c r="P19" s="514"/>
    </row>
    <row r="20" spans="1:16" ht="15.75" x14ac:dyDescent="0.25">
      <c r="A20" s="16" t="s">
        <v>43</v>
      </c>
      <c r="B20" s="3">
        <v>3</v>
      </c>
      <c r="C20" s="3">
        <v>10</v>
      </c>
      <c r="D20" s="3">
        <f>B20*C20</f>
        <v>30</v>
      </c>
      <c r="E20" s="3">
        <v>0.12</v>
      </c>
      <c r="F20" s="3">
        <v>0.5</v>
      </c>
      <c r="G20" s="5">
        <f>TAN(ACOS(F20))</f>
        <v>1.7320508075688767</v>
      </c>
      <c r="H20" s="5">
        <f>D20*E20</f>
        <v>3.5999999999999996</v>
      </c>
      <c r="I20" s="5">
        <f>H20*G20</f>
        <v>6.2353829072479554</v>
      </c>
      <c r="J20" s="5">
        <f>B20*(C20*C20)</f>
        <v>300</v>
      </c>
      <c r="K20" s="12"/>
      <c r="L20" s="5"/>
      <c r="M20" s="5"/>
      <c r="N20" s="5"/>
      <c r="O20" s="5"/>
      <c r="P20" s="13"/>
    </row>
    <row r="21" spans="1:16" ht="15.75" x14ac:dyDescent="0.25">
      <c r="A21" s="16" t="s">
        <v>44</v>
      </c>
      <c r="B21" s="3">
        <v>0</v>
      </c>
      <c r="C21" s="3">
        <v>0</v>
      </c>
      <c r="D21" s="3">
        <f>B21*C21</f>
        <v>0</v>
      </c>
      <c r="E21" s="3">
        <v>0</v>
      </c>
      <c r="F21" s="3">
        <v>0.5</v>
      </c>
      <c r="G21" s="5">
        <f>TAN(ACOS(F21))</f>
        <v>1.7320508075688767</v>
      </c>
      <c r="H21" s="5">
        <f>D21*E21</f>
        <v>0</v>
      </c>
      <c r="I21" s="5">
        <f>H21*G21</f>
        <v>0</v>
      </c>
      <c r="J21" s="5">
        <f>B21*(C21*C21)</f>
        <v>0</v>
      </c>
      <c r="K21" s="1"/>
      <c r="L21" s="1"/>
      <c r="M21" s="1"/>
      <c r="N21" s="1"/>
      <c r="O21" s="1"/>
      <c r="P21" s="1"/>
    </row>
    <row r="22" spans="1:16" ht="15.75" x14ac:dyDescent="0.25">
      <c r="A22" s="1" t="s">
        <v>45</v>
      </c>
      <c r="B22" s="8">
        <f>SUM(B20:B21)</f>
        <v>3</v>
      </c>
      <c r="C22" s="8">
        <f>SUM(C20:C21)</f>
        <v>10</v>
      </c>
      <c r="D22" s="8">
        <f>SUM(D20:D21)</f>
        <v>30</v>
      </c>
      <c r="E22" s="9">
        <f>H22/D22</f>
        <v>0.11999999999999998</v>
      </c>
      <c r="F22" s="9">
        <f>COS(ATAN(G22))</f>
        <v>0.50000000000000011</v>
      </c>
      <c r="G22" s="5">
        <f>I22/H22</f>
        <v>1.7320508075688767</v>
      </c>
      <c r="H22" s="5">
        <f>SUM(H20:H21)</f>
        <v>3.5999999999999996</v>
      </c>
      <c r="I22" s="5">
        <f>SUM(I20:I21)</f>
        <v>6.2353829072479554</v>
      </c>
      <c r="J22" s="5">
        <f>SUM(J20:J21)</f>
        <v>300</v>
      </c>
      <c r="K22" s="5">
        <f>POWER(D22, 2)/J22</f>
        <v>3</v>
      </c>
      <c r="L22" s="5">
        <v>2.84</v>
      </c>
      <c r="M22" s="5">
        <f>L22*H22</f>
        <v>10.223999999999998</v>
      </c>
      <c r="N22" s="5">
        <f>IF(K22&gt;10, I22, 1.1*I22)</f>
        <v>6.8589211979727516</v>
      </c>
      <c r="O22" s="5">
        <f>SQRT(POWER(M22, 2)+POWER(N22, 2))</f>
        <v>12.311578940168475</v>
      </c>
      <c r="P22" s="10">
        <f>O22/(SQRT(3)*0.4)</f>
        <v>17.770233538138992</v>
      </c>
    </row>
    <row r="23" spans="1:16" ht="15.75" x14ac:dyDescent="0.25">
      <c r="A23" s="490" t="s">
        <v>51</v>
      </c>
      <c r="B23" s="491"/>
      <c r="C23" s="491"/>
      <c r="D23" s="491"/>
      <c r="E23" s="491"/>
      <c r="F23" s="491"/>
      <c r="G23" s="491"/>
      <c r="H23" s="491"/>
      <c r="I23" s="491"/>
      <c r="J23" s="491"/>
      <c r="K23" s="491"/>
      <c r="L23" s="491"/>
      <c r="M23" s="491"/>
      <c r="N23" s="491"/>
      <c r="O23" s="491"/>
      <c r="P23" s="492"/>
    </row>
    <row r="24" spans="1:16" ht="15.75" x14ac:dyDescent="0.25">
      <c r="A24" s="16" t="s">
        <v>47</v>
      </c>
      <c r="B24" s="3">
        <v>12</v>
      </c>
      <c r="C24" s="3">
        <v>17</v>
      </c>
      <c r="D24" s="3">
        <f>B24*C24</f>
        <v>204</v>
      </c>
      <c r="E24" s="3">
        <v>0.12</v>
      </c>
      <c r="F24" s="3">
        <v>0.5</v>
      </c>
      <c r="G24" s="5">
        <f>TAN(ACOS(F24))</f>
        <v>1.7320508075688767</v>
      </c>
      <c r="H24" s="5">
        <f>D24*E24</f>
        <v>24.48</v>
      </c>
      <c r="I24" s="5">
        <f>H24*G24</f>
        <v>42.400603769286107</v>
      </c>
      <c r="J24" s="5">
        <f>B24*(C24*C24)</f>
        <v>3468</v>
      </c>
      <c r="K24" s="5"/>
      <c r="L24" s="5"/>
      <c r="M24" s="5"/>
      <c r="N24" s="5"/>
      <c r="O24" s="5"/>
      <c r="P24" s="1"/>
    </row>
    <row r="25" spans="1:16" ht="18.75" customHeight="1" x14ac:dyDescent="0.25">
      <c r="A25" s="16" t="s">
        <v>48</v>
      </c>
      <c r="B25" s="3">
        <v>0</v>
      </c>
      <c r="C25" s="3">
        <v>0</v>
      </c>
      <c r="D25" s="3">
        <f>B25*C25</f>
        <v>0</v>
      </c>
      <c r="E25" s="3">
        <v>0</v>
      </c>
      <c r="F25" s="3">
        <v>0.5</v>
      </c>
      <c r="G25" s="5">
        <f>TAN(ACOS(F25))</f>
        <v>1.7320508075688767</v>
      </c>
      <c r="H25" s="5">
        <f>D25*E25</f>
        <v>0</v>
      </c>
      <c r="I25" s="5">
        <f>H25*G25</f>
        <v>0</v>
      </c>
      <c r="J25" s="5">
        <f>B25*(C25*C25)</f>
        <v>0</v>
      </c>
      <c r="K25" s="12"/>
      <c r="L25" s="5"/>
      <c r="M25" s="5"/>
      <c r="N25" s="5"/>
      <c r="O25" s="5"/>
      <c r="P25" s="1"/>
    </row>
    <row r="26" spans="1:16" ht="18" customHeight="1" x14ac:dyDescent="0.25">
      <c r="A26" s="16" t="s">
        <v>49</v>
      </c>
      <c r="B26" s="3">
        <v>0</v>
      </c>
      <c r="C26" s="3">
        <v>0</v>
      </c>
      <c r="D26" s="3">
        <f>B26*C26</f>
        <v>0</v>
      </c>
      <c r="E26" s="3">
        <v>0</v>
      </c>
      <c r="F26" s="3">
        <v>0.5</v>
      </c>
      <c r="G26" s="5">
        <f>TAN(ACOS(F26))</f>
        <v>1.7320508075688767</v>
      </c>
      <c r="H26" s="5">
        <f>D26*E26</f>
        <v>0</v>
      </c>
      <c r="I26" s="5">
        <f>H26*G26</f>
        <v>0</v>
      </c>
      <c r="J26" s="5">
        <f>B26*(C26*C26)</f>
        <v>0</v>
      </c>
      <c r="K26" s="14"/>
      <c r="L26" s="14"/>
      <c r="M26" s="14"/>
      <c r="N26" s="14"/>
      <c r="O26" s="14"/>
      <c r="P26" s="1"/>
    </row>
    <row r="27" spans="1:16" ht="18" customHeight="1" x14ac:dyDescent="0.25">
      <c r="A27" s="1" t="s">
        <v>50</v>
      </c>
      <c r="B27" s="8">
        <f>SUM(B24:B26)</f>
        <v>12</v>
      </c>
      <c r="C27" s="8">
        <f>SUM(C24:C26)</f>
        <v>17</v>
      </c>
      <c r="D27" s="8">
        <f>SUM(D24:D26)</f>
        <v>204</v>
      </c>
      <c r="E27" s="9">
        <f>H27/D27</f>
        <v>0.12</v>
      </c>
      <c r="F27" s="9">
        <f>COS(ATAN(G27))</f>
        <v>0.50000000000000011</v>
      </c>
      <c r="G27" s="5">
        <f>I27/H27</f>
        <v>1.732050807568877</v>
      </c>
      <c r="H27" s="5">
        <f>SUM(H24:H26)</f>
        <v>24.48</v>
      </c>
      <c r="I27" s="5">
        <f>SUM(I24:I26)</f>
        <v>42.400603769286107</v>
      </c>
      <c r="J27" s="5">
        <f>SUM(J24:J26)</f>
        <v>3468</v>
      </c>
      <c r="K27" s="5">
        <f>POWER(D27, 2)/J27</f>
        <v>12</v>
      </c>
      <c r="L27" s="5">
        <v>2.27</v>
      </c>
      <c r="M27" s="5">
        <f>L27*H27</f>
        <v>55.569600000000001</v>
      </c>
      <c r="N27" s="5">
        <f>IF(K27&gt;10, I27, 1.1*I27)</f>
        <v>42.400603769286107</v>
      </c>
      <c r="O27" s="5">
        <f>SQRT(POWER(M27, 2)+POWER(N27, 2))</f>
        <v>69.898438066669272</v>
      </c>
      <c r="P27" s="10">
        <f>O27/(SQRT(3)*0.4)</f>
        <v>100.88970508431473</v>
      </c>
    </row>
    <row r="28" spans="1:16" ht="15.75" x14ac:dyDescent="0.25">
      <c r="A28" s="485" t="s">
        <v>51</v>
      </c>
      <c r="B28" s="486"/>
      <c r="C28" s="486"/>
      <c r="D28" s="486"/>
      <c r="E28" s="486"/>
      <c r="F28" s="486"/>
      <c r="G28" s="486"/>
      <c r="H28" s="486"/>
      <c r="I28" s="486"/>
      <c r="J28" s="486"/>
      <c r="K28" s="486"/>
      <c r="L28" s="486"/>
      <c r="M28" s="486"/>
      <c r="N28" s="486"/>
      <c r="O28" s="486"/>
      <c r="P28" s="487"/>
    </row>
    <row r="29" spans="1:16" ht="15.75" x14ac:dyDescent="0.25">
      <c r="A29" s="16" t="s">
        <v>52</v>
      </c>
      <c r="B29" s="3">
        <v>1</v>
      </c>
      <c r="C29" s="3">
        <v>3.5</v>
      </c>
      <c r="D29" s="3">
        <f>B29*C29</f>
        <v>3.5</v>
      </c>
      <c r="E29" s="3">
        <v>1</v>
      </c>
      <c r="F29" s="3">
        <v>0.5</v>
      </c>
      <c r="G29" s="5">
        <f>TAN(ACOS(F29))</f>
        <v>1.7320508075688767</v>
      </c>
      <c r="H29" s="5">
        <f>D29*E29</f>
        <v>3.5</v>
      </c>
      <c r="I29" s="5">
        <f>H29*G29</f>
        <v>6.0621778264910686</v>
      </c>
      <c r="J29" s="5">
        <f>B29*(C29*C29)</f>
        <v>12.25</v>
      </c>
      <c r="K29" s="1"/>
      <c r="L29" s="1"/>
      <c r="M29" s="1"/>
      <c r="N29" s="1"/>
      <c r="O29" s="1"/>
      <c r="P29" s="13"/>
    </row>
    <row r="30" spans="1:16" ht="15.75" x14ac:dyDescent="0.25">
      <c r="A30" s="1" t="s">
        <v>53</v>
      </c>
      <c r="B30" s="8">
        <v>1</v>
      </c>
      <c r="C30" s="8">
        <v>4.2</v>
      </c>
      <c r="D30" s="8">
        <f>B30*C30</f>
        <v>4.2</v>
      </c>
      <c r="E30" s="3">
        <v>1</v>
      </c>
      <c r="F30" s="3">
        <v>0.5</v>
      </c>
      <c r="G30" s="5">
        <f>TAN(ACOS(F30))</f>
        <v>1.7320508075688767</v>
      </c>
      <c r="H30" s="5">
        <f>D30*E30</f>
        <v>4.2</v>
      </c>
      <c r="I30" s="5">
        <f>H30*G30</f>
        <v>7.2746133917892823</v>
      </c>
      <c r="J30" s="5">
        <f>B30*(C30*C30)</f>
        <v>17.64</v>
      </c>
      <c r="K30" s="1"/>
      <c r="L30" s="1"/>
      <c r="M30" s="1"/>
      <c r="N30" s="1"/>
      <c r="O30" s="1"/>
      <c r="P30" s="1"/>
    </row>
    <row r="31" spans="1:16" ht="15.75" x14ac:dyDescent="0.25">
      <c r="A31" s="1" t="s">
        <v>54</v>
      </c>
      <c r="B31" s="8">
        <v>1</v>
      </c>
      <c r="C31" s="8">
        <v>5.3</v>
      </c>
      <c r="D31" s="8">
        <f>B31*C31</f>
        <v>5.3</v>
      </c>
      <c r="E31" s="3">
        <v>1</v>
      </c>
      <c r="F31" s="3">
        <v>0.5</v>
      </c>
      <c r="G31" s="5">
        <f>TAN(ACOS(F31))</f>
        <v>1.7320508075688767</v>
      </c>
      <c r="H31" s="5">
        <f>D31*E31</f>
        <v>5.3</v>
      </c>
      <c r="I31" s="5">
        <f>H31*G31</f>
        <v>9.1798692801150459</v>
      </c>
      <c r="J31" s="5">
        <f>B31*(C31*C31)</f>
        <v>28.09</v>
      </c>
      <c r="K31" s="1"/>
      <c r="L31" s="1"/>
      <c r="M31" s="1"/>
      <c r="N31" s="1"/>
      <c r="O31" s="1"/>
      <c r="P31" s="1"/>
    </row>
    <row r="32" spans="1:16" ht="15.75" x14ac:dyDescent="0.25">
      <c r="A32" s="15" t="s">
        <v>55</v>
      </c>
      <c r="B32" s="3">
        <v>1</v>
      </c>
      <c r="C32" s="3">
        <v>4.3</v>
      </c>
      <c r="D32" s="3">
        <f>B32*C32</f>
        <v>4.3</v>
      </c>
      <c r="E32" s="3">
        <v>1</v>
      </c>
      <c r="F32" s="3">
        <v>0.5</v>
      </c>
      <c r="G32" s="5">
        <f>TAN(ACOS(F32))</f>
        <v>1.7320508075688767</v>
      </c>
      <c r="H32" s="5">
        <f>D32*E32</f>
        <v>4.3</v>
      </c>
      <c r="I32" s="5">
        <f>H32*G32</f>
        <v>7.44781847254617</v>
      </c>
      <c r="J32" s="5">
        <f>B32*(C32*C32)</f>
        <v>18.489999999999998</v>
      </c>
      <c r="K32" s="1"/>
      <c r="L32" s="1"/>
      <c r="M32" s="1"/>
      <c r="N32" s="1"/>
      <c r="O32" s="1"/>
      <c r="P32" s="1"/>
    </row>
    <row r="33" spans="1:16" ht="15.75" x14ac:dyDescent="0.25">
      <c r="A33" s="1" t="s">
        <v>56</v>
      </c>
      <c r="B33" s="8">
        <v>0</v>
      </c>
      <c r="C33" s="8">
        <v>0</v>
      </c>
      <c r="D33" s="8">
        <f>B33*C33</f>
        <v>0</v>
      </c>
      <c r="E33" s="3">
        <v>0</v>
      </c>
      <c r="F33" s="3">
        <v>0.5</v>
      </c>
      <c r="G33" s="5">
        <f>TAN(ACOS(F33))</f>
        <v>1.7320508075688767</v>
      </c>
      <c r="H33" s="5">
        <f>D33*E33</f>
        <v>0</v>
      </c>
      <c r="I33" s="5">
        <f>H33*G33</f>
        <v>0</v>
      </c>
      <c r="J33" s="5">
        <f>B33*(C33*C33)</f>
        <v>0</v>
      </c>
      <c r="K33" s="1"/>
      <c r="L33" s="1"/>
      <c r="M33" s="1"/>
      <c r="N33" s="1"/>
      <c r="O33" s="1"/>
      <c r="P33" s="1"/>
    </row>
    <row r="34" spans="1:16" ht="15.75" x14ac:dyDescent="0.25">
      <c r="A34" s="1" t="s">
        <v>57</v>
      </c>
      <c r="B34" s="8">
        <f>SUM(B29:B33)</f>
        <v>4</v>
      </c>
      <c r="C34" s="8">
        <f>SUM(C29:C33)</f>
        <v>17.3</v>
      </c>
      <c r="D34" s="8">
        <f>SUM(D29:D33)</f>
        <v>17.3</v>
      </c>
      <c r="E34" s="9">
        <f>H34/D34</f>
        <v>1</v>
      </c>
      <c r="F34" s="9">
        <f>COS(ATAN(G34))</f>
        <v>0.50000000000000011</v>
      </c>
      <c r="G34" s="5">
        <f>I34/H34</f>
        <v>1.7320508075688765</v>
      </c>
      <c r="H34" s="5">
        <f>SUM(H29:H33)</f>
        <v>17.3</v>
      </c>
      <c r="I34" s="5">
        <f>SUM(I29:I33)</f>
        <v>29.964478970941567</v>
      </c>
      <c r="J34" s="5">
        <f>SUM(J29:J33)</f>
        <v>76.47</v>
      </c>
      <c r="K34" s="5">
        <f>POWER(D34, 2)/J34</f>
        <v>3.9138224140185698</v>
      </c>
      <c r="L34" s="5">
        <v>2.27</v>
      </c>
      <c r="M34" s="5">
        <f>L34*H34</f>
        <v>39.271000000000001</v>
      </c>
      <c r="N34" s="5">
        <f>IF(K34&gt;10, I34, 1.1*I34)</f>
        <v>32.960926868035727</v>
      </c>
      <c r="O34" s="5">
        <f>SQRT(POWER(M34, 2)+POWER(N34, 2))</f>
        <v>51.270207148011401</v>
      </c>
      <c r="P34" s="10">
        <f>O34/(SQRT(3)*0.4)</f>
        <v>74.002169745780648</v>
      </c>
    </row>
    <row r="35" spans="1:16" ht="15.75" x14ac:dyDescent="0.25">
      <c r="A35" s="485" t="s">
        <v>760</v>
      </c>
      <c r="B35" s="486"/>
      <c r="C35" s="486"/>
      <c r="D35" s="486"/>
      <c r="E35" s="486"/>
      <c r="F35" s="486"/>
      <c r="G35" s="486"/>
      <c r="H35" s="486"/>
      <c r="I35" s="486"/>
      <c r="J35" s="486"/>
      <c r="K35" s="486"/>
      <c r="L35" s="486"/>
      <c r="M35" s="486"/>
      <c r="N35" s="486"/>
      <c r="O35" s="486"/>
      <c r="P35" s="487"/>
    </row>
    <row r="36" spans="1:16" ht="15.75" x14ac:dyDescent="0.25">
      <c r="A36" s="1" t="s">
        <v>58</v>
      </c>
      <c r="B36" s="8">
        <v>1</v>
      </c>
      <c r="C36" s="8">
        <v>40</v>
      </c>
      <c r="D36" s="8">
        <f>B36*C36</f>
        <v>40</v>
      </c>
      <c r="E36" s="3">
        <v>0.6</v>
      </c>
      <c r="F36" s="3">
        <v>0.8</v>
      </c>
      <c r="G36" s="5">
        <f>TAN(ACOS(F36))</f>
        <v>0.74999999999999978</v>
      </c>
      <c r="H36" s="5">
        <f>D36*E36</f>
        <v>24</v>
      </c>
      <c r="I36" s="5">
        <f>H36*G36</f>
        <v>17.999999999999993</v>
      </c>
      <c r="J36" s="5">
        <f>B36*(5.5*5.5)</f>
        <v>30.25</v>
      </c>
      <c r="K36" s="1"/>
      <c r="L36" s="1"/>
      <c r="M36" s="1"/>
      <c r="N36" s="1"/>
      <c r="O36" s="1"/>
      <c r="P36" s="1"/>
    </row>
    <row r="37" spans="1:16" ht="15.75" x14ac:dyDescent="0.25">
      <c r="A37" s="1" t="s">
        <v>58</v>
      </c>
      <c r="B37" s="3">
        <v>1</v>
      </c>
      <c r="C37" s="3">
        <v>60</v>
      </c>
      <c r="D37" s="3">
        <f>B37*C37</f>
        <v>60</v>
      </c>
      <c r="E37" s="3">
        <v>0.6</v>
      </c>
      <c r="F37" s="3">
        <v>0.6</v>
      </c>
      <c r="G37" s="5">
        <f>TAN(ACOS(F37))</f>
        <v>1.3333333333333333</v>
      </c>
      <c r="H37" s="5">
        <f>D37*E37</f>
        <v>36</v>
      </c>
      <c r="I37" s="5">
        <f>H37*G37</f>
        <v>48</v>
      </c>
      <c r="J37" s="5">
        <f>B37*(C37*C37)</f>
        <v>3600</v>
      </c>
      <c r="K37" s="1"/>
      <c r="L37" s="1"/>
      <c r="M37" s="1"/>
      <c r="N37" s="1"/>
      <c r="O37" s="1"/>
      <c r="P37" s="1"/>
    </row>
    <row r="38" spans="1:16" ht="15.75" x14ac:dyDescent="0.25">
      <c r="A38" s="1" t="s">
        <v>60</v>
      </c>
      <c r="B38" s="8">
        <f>SUM(B36:B37)</f>
        <v>2</v>
      </c>
      <c r="C38" s="8">
        <f>SUM(C36:C37)</f>
        <v>100</v>
      </c>
      <c r="D38" s="8">
        <f>SUM(D36:D37)</f>
        <v>100</v>
      </c>
      <c r="E38" s="9">
        <f>H38/D38</f>
        <v>0.6</v>
      </c>
      <c r="F38" s="9">
        <f>COS(ATAN(G38))</f>
        <v>0.67267279399631241</v>
      </c>
      <c r="G38" s="5">
        <f>I38/H38</f>
        <v>1.1000000000000001</v>
      </c>
      <c r="H38" s="5">
        <f>SUM(H36:H37)</f>
        <v>60</v>
      </c>
      <c r="I38" s="5">
        <f>SUM(I36:I37)</f>
        <v>66</v>
      </c>
      <c r="J38" s="5">
        <f>SUM(J36:J37)</f>
        <v>3630.25</v>
      </c>
      <c r="K38" s="5">
        <f>POWER(D38, 2)/J38</f>
        <v>2.7546312237449211</v>
      </c>
      <c r="L38" s="5">
        <v>1</v>
      </c>
      <c r="M38" s="5">
        <f>L38*H38</f>
        <v>60</v>
      </c>
      <c r="N38" s="5">
        <f>IF(K38&gt;10, I38, 1.1*I38)</f>
        <v>72.600000000000009</v>
      </c>
      <c r="O38" s="5">
        <f>SQRT(POWER(M38, 2)+POWER(N38, 2))</f>
        <v>94.184712135250493</v>
      </c>
      <c r="P38" s="10">
        <f>O38/(SQRT(3)*0.4)</f>
        <v>135.94392226208572</v>
      </c>
    </row>
    <row r="39" spans="1:16" ht="15.75" x14ac:dyDescent="0.25">
      <c r="A39" s="1" t="s">
        <v>61</v>
      </c>
      <c r="B39" s="8">
        <f>B12+B18+B22+B27+B34+B38</f>
        <v>40</v>
      </c>
      <c r="C39" s="8">
        <f>C12+C18+C22+C27+C34+C38</f>
        <v>209.8</v>
      </c>
      <c r="D39" s="8">
        <f>D12+D18+D22+D27+D34+D38</f>
        <v>694.8</v>
      </c>
      <c r="E39" s="5">
        <f>H39/D39</f>
        <v>0.21963154864709272</v>
      </c>
      <c r="F39" s="5">
        <f>COS(ATAN(G39))</f>
        <v>0.57896716867528841</v>
      </c>
      <c r="G39" s="5">
        <f>I39/H39</f>
        <v>1.4082851319271039</v>
      </c>
      <c r="H39" s="17">
        <f>H12+H18+H22+H27+H38+H34</f>
        <v>152.60000000000002</v>
      </c>
      <c r="I39" s="17">
        <f>I12+I18+I22+I27+I38+I34</f>
        <v>214.90431113207609</v>
      </c>
      <c r="J39" s="17">
        <f>J12+J18+J22+J27+J38+J34</f>
        <v>14495.47</v>
      </c>
      <c r="K39" s="18"/>
      <c r="L39" s="18"/>
      <c r="M39" s="18">
        <f>M12+M18+M22+M27+M38+M34</f>
        <v>299.1694</v>
      </c>
      <c r="N39" s="18">
        <f>N12+N18+N22+N27+N38+N34</f>
        <v>227.50932160245537</v>
      </c>
      <c r="O39" s="5">
        <f>SQRT(POWER(M39, 2)+POWER(N39, 2))</f>
        <v>375.84946629251647</v>
      </c>
      <c r="P39" s="19">
        <f>O39/(SQRT(3)*0.4)</f>
        <v>542.49197634690393</v>
      </c>
    </row>
    <row r="45" spans="1:16" ht="18.75" x14ac:dyDescent="0.3">
      <c r="A45" s="6"/>
      <c r="D45" s="20"/>
      <c r="E45" s="21"/>
      <c r="F45" s="21"/>
      <c r="G45" s="21"/>
      <c r="H45" s="21"/>
      <c r="I45" s="21"/>
      <c r="J45" s="20"/>
      <c r="K45" s="20"/>
      <c r="M45" s="21"/>
      <c r="P45" s="21"/>
    </row>
  </sheetData>
  <mergeCells count="28">
    <mergeCell ref="H3:I3"/>
    <mergeCell ref="H4:H5"/>
    <mergeCell ref="E4:G4"/>
    <mergeCell ref="A4:D4"/>
    <mergeCell ref="G5:G6"/>
    <mergeCell ref="F5:F6"/>
    <mergeCell ref="A35:P35"/>
    <mergeCell ref="A28:P28"/>
    <mergeCell ref="A23:P23"/>
    <mergeCell ref="A19:P19"/>
    <mergeCell ref="A5:A6"/>
    <mergeCell ref="C5:D5"/>
    <mergeCell ref="A1:O1"/>
    <mergeCell ref="A3:G3"/>
    <mergeCell ref="A2:O2"/>
    <mergeCell ref="M3:O3"/>
    <mergeCell ref="A13:P13"/>
    <mergeCell ref="E5:E6"/>
    <mergeCell ref="A8:P8"/>
    <mergeCell ref="B5:B6"/>
    <mergeCell ref="P3:P6"/>
    <mergeCell ref="L3:L6"/>
    <mergeCell ref="K3:K6"/>
    <mergeCell ref="J3:J6"/>
    <mergeCell ref="N4:N5"/>
    <mergeCell ref="O4:O5"/>
    <mergeCell ref="I4:I5"/>
    <mergeCell ref="M4:M5"/>
  </mergeCells>
  <pageMargins left="0.70000004768371604" right="0.70000004768371604" top="0.75" bottom="0.75" header="0.30000001192092901" footer="0.30000001192092901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8"/>
  <sheetViews>
    <sheetView topLeftCell="A4" zoomScaleNormal="100" workbookViewId="0">
      <selection activeCell="I28" sqref="I28"/>
    </sheetView>
  </sheetViews>
  <sheetFormatPr defaultColWidth="9.140625" defaultRowHeight="15" x14ac:dyDescent="0.25"/>
  <cols>
    <col min="1" max="1" width="4.7109375" customWidth="1"/>
    <col min="2" max="2" width="23.28515625" customWidth="1"/>
    <col min="6" max="6" width="23.5703125" customWidth="1"/>
    <col min="9" max="9" width="10.7109375" customWidth="1"/>
    <col min="12" max="12" width="14.28515625" customWidth="1"/>
    <col min="13" max="13" width="13.28515625" customWidth="1"/>
    <col min="14" max="14" width="13.7109375" customWidth="1"/>
    <col min="17" max="17" width="11.5703125" customWidth="1"/>
    <col min="21" max="21" width="12.7109375" customWidth="1"/>
    <col min="22" max="22" width="7.5703125" customWidth="1"/>
    <col min="25" max="25" width="15.7109375" customWidth="1"/>
    <col min="26" max="26" width="12.7109375" customWidth="1"/>
  </cols>
  <sheetData>
    <row r="1" spans="1:38" ht="15.75" x14ac:dyDescent="0.25">
      <c r="A1" s="518" t="s">
        <v>62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22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38" ht="15.75" x14ac:dyDescent="0.25">
      <c r="A2" s="518" t="s">
        <v>63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22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38" ht="89.45" customHeight="1" x14ac:dyDescent="0.25">
      <c r="A3" s="4" t="s">
        <v>64</v>
      </c>
      <c r="B3" s="4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  <c r="H3" s="2" t="s">
        <v>71</v>
      </c>
      <c r="I3" s="2" t="s">
        <v>72</v>
      </c>
      <c r="J3" s="2" t="s">
        <v>73</v>
      </c>
      <c r="K3" s="2" t="s">
        <v>74</v>
      </c>
      <c r="L3" s="2" t="s">
        <v>75</v>
      </c>
      <c r="M3" s="2" t="s">
        <v>76</v>
      </c>
      <c r="N3" s="2" t="s">
        <v>77</v>
      </c>
      <c r="O3" s="23" t="s">
        <v>78</v>
      </c>
      <c r="P3" s="24" t="s">
        <v>79</v>
      </c>
      <c r="Q3" s="25" t="s">
        <v>80</v>
      </c>
      <c r="R3" s="24" t="s">
        <v>81</v>
      </c>
      <c r="S3" s="24" t="s">
        <v>82</v>
      </c>
      <c r="T3" s="24" t="s">
        <v>83</v>
      </c>
      <c r="U3" s="24" t="s">
        <v>84</v>
      </c>
      <c r="V3" s="24">
        <v>1</v>
      </c>
      <c r="W3" s="24">
        <v>2</v>
      </c>
      <c r="X3" s="24" t="s">
        <v>85</v>
      </c>
      <c r="Y3" s="24" t="s">
        <v>86</v>
      </c>
      <c r="Z3" s="24" t="s">
        <v>87</v>
      </c>
    </row>
    <row r="4" spans="1:38" ht="34.5" customHeight="1" x14ac:dyDescent="0.25">
      <c r="A4" s="2">
        <v>1</v>
      </c>
      <c r="B4" s="26" t="s">
        <v>88</v>
      </c>
      <c r="C4" s="2">
        <v>48</v>
      </c>
      <c r="D4" s="2">
        <v>48</v>
      </c>
      <c r="E4" s="2">
        <v>250</v>
      </c>
      <c r="F4" s="27"/>
      <c r="G4" s="2">
        <v>6</v>
      </c>
      <c r="H4" s="28">
        <f t="shared" ref="H4:H21" si="0">Q4</f>
        <v>1.9907100486544469</v>
      </c>
      <c r="I4" s="12">
        <f t="shared" ref="I4:I10" si="1">C4*D4</f>
        <v>2304</v>
      </c>
      <c r="J4" s="3">
        <v>1.3</v>
      </c>
      <c r="K4" s="3">
        <v>0.7</v>
      </c>
      <c r="L4" s="28">
        <f t="shared" ref="L4:L21" si="2">H4*I4/1000</f>
        <v>4.5865959520998461</v>
      </c>
      <c r="M4" s="5">
        <f t="shared" ref="M4:M21" si="3">L4*K4*J4</f>
        <v>4.1738023164108595</v>
      </c>
      <c r="N4" s="5">
        <f t="shared" ref="N4:N22" si="4">TAN(ACOS(0.9))*M4</f>
        <v>2.0214647230612122</v>
      </c>
      <c r="O4" s="29">
        <f t="shared" ref="O4:O21" si="5">(Y4-X4)/Y4*100</f>
        <v>-2.3085540781432647</v>
      </c>
      <c r="P4" s="30">
        <f>G4-R4-0.8</f>
        <v>4.2</v>
      </c>
      <c r="Q4" s="31">
        <f t="shared" ref="Q4:Q21" si="6">Z4*U4/I4</f>
        <v>1.9907100486544469</v>
      </c>
      <c r="R4" s="32">
        <v>1</v>
      </c>
      <c r="S4" s="33">
        <f>2.2*P4</f>
        <v>9.240000000000002</v>
      </c>
      <c r="T4" s="33">
        <f>0.8*S4</f>
        <v>7.3920000000000021</v>
      </c>
      <c r="U4" s="34">
        <f>V4*W4+3</f>
        <v>19.517429583403597</v>
      </c>
      <c r="V4" s="34">
        <f>(C4-2*T4)/S4+1</f>
        <v>4.5948051948051933</v>
      </c>
      <c r="W4" s="34">
        <f>(D4-2*T4)/S4</f>
        <v>3.5948051948051933</v>
      </c>
      <c r="X4" s="34">
        <f>E4*J4*1*C4*D4/(1.5*U4)</f>
        <v>25577.138519535816</v>
      </c>
      <c r="Y4" s="29">
        <v>25000</v>
      </c>
      <c r="Z4" s="29">
        <v>235</v>
      </c>
      <c r="AD4" s="21">
        <v>13.6319183673469</v>
      </c>
    </row>
    <row r="5" spans="1:38" ht="18.75" x14ac:dyDescent="0.25">
      <c r="A5" s="2">
        <v>2</v>
      </c>
      <c r="B5" s="26" t="s">
        <v>89</v>
      </c>
      <c r="C5" s="2">
        <v>48</v>
      </c>
      <c r="D5" s="2">
        <v>48</v>
      </c>
      <c r="E5" s="2">
        <v>200</v>
      </c>
      <c r="F5" s="35"/>
      <c r="G5" s="36">
        <v>8</v>
      </c>
      <c r="H5" s="28">
        <f t="shared" si="0"/>
        <v>3.0974862285059124</v>
      </c>
      <c r="I5" s="12">
        <f t="shared" si="1"/>
        <v>2304</v>
      </c>
      <c r="J5" s="3">
        <v>1.3</v>
      </c>
      <c r="K5" s="3">
        <v>0.7</v>
      </c>
      <c r="L5" s="5">
        <f t="shared" si="2"/>
        <v>7.1366082704776215</v>
      </c>
      <c r="M5" s="5">
        <f t="shared" si="3"/>
        <v>6.4943135261346345</v>
      </c>
      <c r="N5" s="5">
        <f t="shared" si="4"/>
        <v>3.1453395964544621</v>
      </c>
      <c r="O5" s="29">
        <f t="shared" si="5"/>
        <v>1.3716357514333648</v>
      </c>
      <c r="P5" s="37">
        <f>G5-R5-0.8</f>
        <v>6.2</v>
      </c>
      <c r="Q5" s="38">
        <f t="shared" si="6"/>
        <v>3.0974862285059124</v>
      </c>
      <c r="R5" s="32">
        <v>1</v>
      </c>
      <c r="S5" s="33">
        <f>1.3*P5</f>
        <v>8.06</v>
      </c>
      <c r="T5" s="33">
        <f>0.6*S5</f>
        <v>4.8360000000000003</v>
      </c>
      <c r="U5" s="34">
        <f>V5*W5+3</f>
        <v>30.368545831819667</v>
      </c>
      <c r="V5" s="34">
        <f>(C5-2*T5)/S5+1</f>
        <v>5.7553349875930522</v>
      </c>
      <c r="W5" s="34">
        <f>(D5-2*T5)/S5</f>
        <v>4.7553349875930522</v>
      </c>
      <c r="X5" s="34">
        <f>E5*J5*1*C5*D5/(0.8*U5)</f>
        <v>24657.091062141659</v>
      </c>
      <c r="Y5" s="29">
        <v>25000</v>
      </c>
      <c r="Z5" s="29">
        <v>235</v>
      </c>
      <c r="AD5" s="21">
        <v>14.353075</v>
      </c>
    </row>
    <row r="6" spans="1:38" ht="24" customHeight="1" x14ac:dyDescent="0.25">
      <c r="A6" s="36">
        <v>3</v>
      </c>
      <c r="B6" s="39" t="s">
        <v>90</v>
      </c>
      <c r="C6" s="2">
        <v>36</v>
      </c>
      <c r="D6" s="2">
        <v>54</v>
      </c>
      <c r="E6" s="2">
        <v>200</v>
      </c>
      <c r="F6" s="35"/>
      <c r="G6" s="2">
        <v>8</v>
      </c>
      <c r="H6" s="28">
        <f t="shared" si="0"/>
        <v>3.5750196515754733</v>
      </c>
      <c r="I6" s="12">
        <f t="shared" si="1"/>
        <v>1944</v>
      </c>
      <c r="J6" s="3">
        <v>1.3</v>
      </c>
      <c r="K6" s="3">
        <v>0.7</v>
      </c>
      <c r="L6" s="5">
        <f t="shared" si="2"/>
        <v>6.9498382026627201</v>
      </c>
      <c r="M6" s="5">
        <f t="shared" si="3"/>
        <v>6.3243527644230753</v>
      </c>
      <c r="N6" s="5">
        <f t="shared" si="4"/>
        <v>3.0630238426024752</v>
      </c>
      <c r="O6" s="40">
        <f t="shared" si="5"/>
        <v>8.848985900522079</v>
      </c>
      <c r="P6" s="41">
        <f>G6-R6-0.6</f>
        <v>6.4</v>
      </c>
      <c r="Q6" s="42">
        <f t="shared" si="6"/>
        <v>3.5750196515754733</v>
      </c>
      <c r="R6" s="43">
        <v>1</v>
      </c>
      <c r="S6" s="44">
        <f>1.3*P6</f>
        <v>8.32</v>
      </c>
      <c r="T6" s="44">
        <f>0.5*S6</f>
        <v>4.16</v>
      </c>
      <c r="U6" s="45">
        <f>V6*W6-5</f>
        <v>29.57377958579881</v>
      </c>
      <c r="V6" s="45">
        <f>(C6-2*T6)/S6+2</f>
        <v>5.3269230769230766</v>
      </c>
      <c r="W6" s="45">
        <f>(D6-2*T6)/S6+1</f>
        <v>6.490384615384615</v>
      </c>
      <c r="X6" s="45">
        <f>E6*J6*1*C6*D6/(0.75*U6)</f>
        <v>22787.75352486948</v>
      </c>
      <c r="Y6" s="40">
        <v>25000</v>
      </c>
      <c r="Z6" s="40">
        <v>235</v>
      </c>
      <c r="AD6" s="21">
        <v>9.1959999999999997</v>
      </c>
    </row>
    <row r="7" spans="1:38" ht="23.45" customHeight="1" x14ac:dyDescent="0.25">
      <c r="A7" s="36">
        <v>4</v>
      </c>
      <c r="B7" s="39" t="s">
        <v>91</v>
      </c>
      <c r="C7" s="36">
        <v>24</v>
      </c>
      <c r="D7" s="36">
        <v>60</v>
      </c>
      <c r="E7" s="36">
        <v>100</v>
      </c>
      <c r="F7" s="35"/>
      <c r="G7" s="36">
        <v>10</v>
      </c>
      <c r="H7" s="5">
        <f t="shared" si="0"/>
        <v>2.0820939916716243</v>
      </c>
      <c r="I7" s="12">
        <f t="shared" si="1"/>
        <v>1440</v>
      </c>
      <c r="J7" s="3">
        <v>1.5</v>
      </c>
      <c r="K7" s="3">
        <v>0.55000000000000004</v>
      </c>
      <c r="L7" s="5">
        <f t="shared" si="2"/>
        <v>2.9982153480071392</v>
      </c>
      <c r="M7" s="5">
        <f t="shared" si="3"/>
        <v>2.4735276621058899</v>
      </c>
      <c r="N7" s="5">
        <f t="shared" si="4"/>
        <v>1.1979841236857771</v>
      </c>
      <c r="O7" s="29">
        <f t="shared" si="5"/>
        <v>9.9464285714285712</v>
      </c>
      <c r="P7" s="30">
        <f>G7-R7-0.8</f>
        <v>8.1999999999999993</v>
      </c>
      <c r="Q7" s="42">
        <f t="shared" si="6"/>
        <v>2.0820939916716243</v>
      </c>
      <c r="R7" s="32">
        <v>1</v>
      </c>
      <c r="S7" s="33">
        <f>1*P7</f>
        <v>8.1999999999999993</v>
      </c>
      <c r="T7" s="33">
        <f>0.5*S7</f>
        <v>4.0999999999999996</v>
      </c>
      <c r="U7" s="34">
        <f>V7*W7</f>
        <v>21.415823914336706</v>
      </c>
      <c r="V7" s="34">
        <f>(C7-2*T7)/S7+1</f>
        <v>2.9268292682926829</v>
      </c>
      <c r="W7" s="34">
        <f>(D7-2*T7)/S7+1</f>
        <v>7.3170731707317076</v>
      </c>
      <c r="X7" s="34">
        <f>E7*J7*1*C7*D7/(0.8*(V7*W7))</f>
        <v>12607.5</v>
      </c>
      <c r="Y7" s="29">
        <v>14000</v>
      </c>
      <c r="Z7" s="29">
        <v>140</v>
      </c>
      <c r="AD7" s="21">
        <v>8.8445387755102107</v>
      </c>
    </row>
    <row r="8" spans="1:38" ht="39.75" customHeight="1" x14ac:dyDescent="0.25">
      <c r="A8" s="36">
        <v>5</v>
      </c>
      <c r="B8" s="39" t="s">
        <v>92</v>
      </c>
      <c r="C8" s="36">
        <v>36</v>
      </c>
      <c r="D8" s="36">
        <v>48</v>
      </c>
      <c r="E8" s="36">
        <v>100</v>
      </c>
      <c r="F8" s="35"/>
      <c r="G8" s="46">
        <v>8</v>
      </c>
      <c r="H8" s="5">
        <f t="shared" si="0"/>
        <v>2.0572916666666661</v>
      </c>
      <c r="I8" s="12">
        <f t="shared" si="1"/>
        <v>1728</v>
      </c>
      <c r="J8" s="3">
        <v>1.5</v>
      </c>
      <c r="K8" s="3">
        <v>0.6</v>
      </c>
      <c r="L8" s="5">
        <f t="shared" si="2"/>
        <v>3.5549999999999993</v>
      </c>
      <c r="M8" s="5">
        <f t="shared" si="3"/>
        <v>3.1994999999999996</v>
      </c>
      <c r="N8" s="5">
        <f t="shared" si="4"/>
        <v>1.549588574428709</v>
      </c>
      <c r="O8" s="47">
        <f t="shared" si="5"/>
        <v>-3.9398496240601837</v>
      </c>
      <c r="P8" s="37">
        <f>G8-R8-0.6</f>
        <v>6.4</v>
      </c>
      <c r="Q8" s="42">
        <f t="shared" si="6"/>
        <v>2.0572916666666661</v>
      </c>
      <c r="R8" s="32">
        <v>1</v>
      </c>
      <c r="S8" s="33">
        <f>1.5*P8</f>
        <v>9.6000000000000014</v>
      </c>
      <c r="T8" s="33">
        <f>0.5*S8</f>
        <v>4.8000000000000007</v>
      </c>
      <c r="U8" s="34">
        <f>V8*W8+1</f>
        <v>19.749999999999993</v>
      </c>
      <c r="V8" s="34">
        <f>(C8-2*T8)/S8+1</f>
        <v>3.7499999999999996</v>
      </c>
      <c r="W8" s="34">
        <f>(D8-2*T8)/S8+1</f>
        <v>4.9999999999999991</v>
      </c>
      <c r="X8" s="34">
        <f>E8*J8*1*C8*D8/(0.7*(V8*W8))</f>
        <v>19748.571428571435</v>
      </c>
      <c r="Y8" s="29">
        <v>19000</v>
      </c>
      <c r="Z8" s="29">
        <v>180</v>
      </c>
      <c r="AD8" s="21">
        <v>24.076799999999999</v>
      </c>
      <c r="AH8" s="23" t="s">
        <v>93</v>
      </c>
    </row>
    <row r="9" spans="1:38" ht="28.9" customHeight="1" x14ac:dyDescent="0.25">
      <c r="A9" s="36">
        <v>6</v>
      </c>
      <c r="B9" s="48" t="s">
        <v>94</v>
      </c>
      <c r="C9" s="36">
        <v>36</v>
      </c>
      <c r="D9" s="36">
        <v>54</v>
      </c>
      <c r="E9" s="36">
        <v>200</v>
      </c>
      <c r="F9" s="49"/>
      <c r="G9" s="46">
        <v>6</v>
      </c>
      <c r="H9" s="5">
        <f t="shared" si="0"/>
        <v>2.401466000762368</v>
      </c>
      <c r="I9" s="12">
        <f t="shared" si="1"/>
        <v>1944</v>
      </c>
      <c r="J9" s="3">
        <v>1.3</v>
      </c>
      <c r="K9" s="3">
        <v>0.6</v>
      </c>
      <c r="L9" s="5">
        <f t="shared" si="2"/>
        <v>4.6684499054820439</v>
      </c>
      <c r="M9" s="5">
        <f t="shared" si="3"/>
        <v>3.6413909262759945</v>
      </c>
      <c r="N9" s="5">
        <f t="shared" si="4"/>
        <v>1.7636061179514471</v>
      </c>
      <c r="O9" s="29">
        <f t="shared" si="5"/>
        <v>2.7804733937582102</v>
      </c>
      <c r="P9" s="37">
        <f>G9-R9-0.4</f>
        <v>4.5999999999999996</v>
      </c>
      <c r="Q9" s="42">
        <f t="shared" si="6"/>
        <v>2.401466000762368</v>
      </c>
      <c r="R9" s="32">
        <v>1</v>
      </c>
      <c r="S9" s="33">
        <f>1.5*P9</f>
        <v>6.8999999999999995</v>
      </c>
      <c r="T9" s="33">
        <f>0.5*S9</f>
        <v>3.4499999999999997</v>
      </c>
      <c r="U9" s="34">
        <f>V9*W9</f>
        <v>42.440453686200392</v>
      </c>
      <c r="V9" s="34">
        <f>(C9-2*T9)/S9+2</f>
        <v>6.2173913043478271</v>
      </c>
      <c r="W9" s="34">
        <f>(D9-2*T9)/S9</f>
        <v>6.8260869565217401</v>
      </c>
      <c r="X9" s="34">
        <f>E9*J9*1*C9*D9/(0.7*(V9*W9))</f>
        <v>17013.417156092313</v>
      </c>
      <c r="Y9" s="29">
        <v>17500</v>
      </c>
      <c r="Z9" s="29">
        <v>110</v>
      </c>
      <c r="AB9" t="s">
        <v>95</v>
      </c>
      <c r="AD9" s="21">
        <v>11.536799999999999</v>
      </c>
      <c r="AH9">
        <v>1</v>
      </c>
      <c r="AI9" s="50" t="s">
        <v>96</v>
      </c>
    </row>
    <row r="10" spans="1:38" ht="32.25" customHeight="1" x14ac:dyDescent="0.25">
      <c r="A10" s="51">
        <v>7</v>
      </c>
      <c r="B10" s="52" t="s">
        <v>97</v>
      </c>
      <c r="C10" s="51">
        <v>60</v>
      </c>
      <c r="D10" s="51">
        <v>48</v>
      </c>
      <c r="E10" s="51">
        <v>200</v>
      </c>
      <c r="F10" s="53"/>
      <c r="G10" s="54">
        <v>10</v>
      </c>
      <c r="H10" s="55">
        <f t="shared" si="0"/>
        <v>2.2492514786063005</v>
      </c>
      <c r="I10" s="56">
        <f t="shared" si="1"/>
        <v>2880</v>
      </c>
      <c r="J10" s="57">
        <v>1.3</v>
      </c>
      <c r="K10" s="57">
        <v>0.3</v>
      </c>
      <c r="L10" s="55">
        <f t="shared" si="2"/>
        <v>6.4778442583861455</v>
      </c>
      <c r="M10" s="55">
        <f t="shared" si="3"/>
        <v>2.5263592607705965</v>
      </c>
      <c r="N10" s="55">
        <f t="shared" si="4"/>
        <v>1.2235716347530166</v>
      </c>
      <c r="O10" s="29">
        <f t="shared" si="5"/>
        <v>-4.9290873015872769</v>
      </c>
      <c r="P10" s="37">
        <f>G10-R10-0.8</f>
        <v>8.1999999999999993</v>
      </c>
      <c r="Q10" s="42">
        <f t="shared" si="6"/>
        <v>2.2492514786063005</v>
      </c>
      <c r="R10" s="32">
        <v>1</v>
      </c>
      <c r="S10" s="33">
        <f>1.1*P10</f>
        <v>9.02</v>
      </c>
      <c r="T10" s="33">
        <f>0.5*S10</f>
        <v>4.51</v>
      </c>
      <c r="U10" s="34">
        <f>V10*W10</f>
        <v>35.398056056754889</v>
      </c>
      <c r="V10" s="34">
        <f>(C10-2*T10)/S10+1</f>
        <v>6.6518847006651889</v>
      </c>
      <c r="W10" s="34">
        <f>(D10-2*T10)/S10+1</f>
        <v>5.3215077605321515</v>
      </c>
      <c r="X10" s="34">
        <f>E10*J10*1*C10*D10/(0.8*(V10*W10))</f>
        <v>26442.129999999994</v>
      </c>
      <c r="Y10" s="29">
        <v>25200</v>
      </c>
      <c r="Z10" s="29">
        <v>183</v>
      </c>
      <c r="AD10" s="21">
        <v>46.147199999999998</v>
      </c>
      <c r="AH10">
        <v>2</v>
      </c>
      <c r="AI10" s="50" t="s">
        <v>98</v>
      </c>
    </row>
    <row r="11" spans="1:38" ht="37.15" customHeight="1" x14ac:dyDescent="0.25">
      <c r="A11" s="36">
        <v>8</v>
      </c>
      <c r="B11" s="48" t="s">
        <v>99</v>
      </c>
      <c r="C11" s="3">
        <v>36</v>
      </c>
      <c r="D11" s="3">
        <v>48</v>
      </c>
      <c r="E11" s="3">
        <v>150</v>
      </c>
      <c r="F11" s="35"/>
      <c r="G11" s="12">
        <v>3</v>
      </c>
      <c r="H11" s="5">
        <f t="shared" si="0"/>
        <v>0.905349794238683</v>
      </c>
      <c r="I11" s="12">
        <v>3888</v>
      </c>
      <c r="J11" s="3">
        <v>1.1000000000000001</v>
      </c>
      <c r="K11" s="3">
        <v>0.85</v>
      </c>
      <c r="L11" s="5">
        <f t="shared" si="2"/>
        <v>3.5199999999999996</v>
      </c>
      <c r="M11" s="5">
        <f t="shared" si="3"/>
        <v>3.2911999999999999</v>
      </c>
      <c r="N11" s="5">
        <f t="shared" si="4"/>
        <v>1.5940009114423401</v>
      </c>
      <c r="O11" s="29">
        <f t="shared" si="5"/>
        <v>-7.3291925465838581</v>
      </c>
      <c r="P11" s="30">
        <f>G11-R11-1</f>
        <v>2</v>
      </c>
      <c r="Q11" s="42">
        <f t="shared" si="6"/>
        <v>0.905349794238683</v>
      </c>
      <c r="R11" s="32">
        <v>0</v>
      </c>
      <c r="S11" s="33">
        <f>2.5*P11</f>
        <v>5</v>
      </c>
      <c r="T11" s="33">
        <f>1.3*S11</f>
        <v>6.5</v>
      </c>
      <c r="U11" s="34">
        <f>V11*W11+3</f>
        <v>35.199999999999996</v>
      </c>
      <c r="V11" s="34">
        <f>(C11-2*T11)/S11</f>
        <v>4.5999999999999996</v>
      </c>
      <c r="W11" s="34">
        <f>(D11-2*T11)/S11</f>
        <v>7</v>
      </c>
      <c r="X11" s="34">
        <f>E11*J11*1*C11*D11/(0.75*(V11*W11))</f>
        <v>11806.211180124224</v>
      </c>
      <c r="Y11" s="29">
        <v>11000</v>
      </c>
      <c r="Z11" s="29">
        <v>100</v>
      </c>
      <c r="AD11" s="21">
        <v>29.534208</v>
      </c>
      <c r="AH11">
        <v>3</v>
      </c>
      <c r="AI11" s="50" t="s">
        <v>100</v>
      </c>
    </row>
    <row r="12" spans="1:38" ht="24.6" customHeight="1" x14ac:dyDescent="0.3">
      <c r="A12" s="36">
        <v>9</v>
      </c>
      <c r="B12" s="26" t="s">
        <v>101</v>
      </c>
      <c r="C12" s="36">
        <v>48</v>
      </c>
      <c r="D12" s="36">
        <v>24</v>
      </c>
      <c r="E12" s="36">
        <v>100</v>
      </c>
      <c r="F12" s="35"/>
      <c r="G12" s="46">
        <v>8</v>
      </c>
      <c r="H12" s="5">
        <f t="shared" si="0"/>
        <v>2.2919132149901382</v>
      </c>
      <c r="I12" s="12">
        <f t="shared" ref="I12:I21" si="7">C12*D12</f>
        <v>1152</v>
      </c>
      <c r="J12" s="3">
        <v>1.3</v>
      </c>
      <c r="K12" s="3">
        <v>0.3</v>
      </c>
      <c r="L12" s="5">
        <f t="shared" si="2"/>
        <v>2.6402840236686393</v>
      </c>
      <c r="M12" s="5">
        <f t="shared" si="3"/>
        <v>1.0297107692307694</v>
      </c>
      <c r="N12" s="5">
        <f t="shared" si="4"/>
        <v>0.49871168712805047</v>
      </c>
      <c r="O12" s="29">
        <f t="shared" si="5"/>
        <v>7.8584534731323901</v>
      </c>
      <c r="P12" s="58">
        <f>G12-R12-1</f>
        <v>5</v>
      </c>
      <c r="Q12" s="42">
        <f t="shared" si="6"/>
        <v>2.2919132149901382</v>
      </c>
      <c r="R12" s="32">
        <v>2</v>
      </c>
      <c r="S12" s="33">
        <f>1.3*P12</f>
        <v>6.5</v>
      </c>
      <c r="T12" s="33">
        <f t="shared" ref="T12:T20" si="8">0.5*S12</f>
        <v>3.25</v>
      </c>
      <c r="U12" s="34">
        <f>V12*W12+1</f>
        <v>23.573964497041423</v>
      </c>
      <c r="V12" s="34">
        <f>(C12-2*T12)/S12+2</f>
        <v>8.384615384615385</v>
      </c>
      <c r="W12" s="34">
        <f>(D12-2*T12)/S12</f>
        <v>2.6923076923076925</v>
      </c>
      <c r="X12" s="34">
        <f>E12*J12*1*C12*D12/(0.8*(V12*W12))</f>
        <v>8292.7391874180848</v>
      </c>
      <c r="Y12" s="29">
        <v>9000</v>
      </c>
      <c r="Z12" s="29">
        <v>112</v>
      </c>
      <c r="AD12" s="21">
        <v>6.8618880000000004</v>
      </c>
      <c r="AH12">
        <v>4</v>
      </c>
      <c r="AI12" s="50" t="s">
        <v>100</v>
      </c>
      <c r="AL12" s="59"/>
    </row>
    <row r="13" spans="1:38" ht="31.5" x14ac:dyDescent="0.25">
      <c r="A13" s="36">
        <v>10</v>
      </c>
      <c r="B13" s="48" t="s">
        <v>102</v>
      </c>
      <c r="C13" s="36">
        <v>48</v>
      </c>
      <c r="D13" s="36">
        <v>24</v>
      </c>
      <c r="E13" s="36">
        <v>150</v>
      </c>
      <c r="F13" s="35"/>
      <c r="G13" s="46">
        <v>8</v>
      </c>
      <c r="H13" s="5">
        <f t="shared" si="0"/>
        <v>1.9207986111111113</v>
      </c>
      <c r="I13" s="12">
        <f t="shared" si="7"/>
        <v>1152</v>
      </c>
      <c r="J13" s="3">
        <v>1.5</v>
      </c>
      <c r="K13" s="3">
        <v>0.85</v>
      </c>
      <c r="L13" s="5">
        <f t="shared" si="2"/>
        <v>2.2127600000000003</v>
      </c>
      <c r="M13" s="5">
        <f t="shared" si="3"/>
        <v>2.8212690000000005</v>
      </c>
      <c r="N13" s="5">
        <f t="shared" si="4"/>
        <v>1.3664029403937836</v>
      </c>
      <c r="O13" s="47">
        <f t="shared" si="5"/>
        <v>-9.4594594594594383</v>
      </c>
      <c r="P13" s="58">
        <f>G13-R13-1</f>
        <v>5</v>
      </c>
      <c r="Q13" s="42">
        <f t="shared" si="6"/>
        <v>1.9207986111111113</v>
      </c>
      <c r="R13" s="32">
        <v>2</v>
      </c>
      <c r="S13" s="33">
        <f>1.5*P13</f>
        <v>7.5</v>
      </c>
      <c r="T13" s="33">
        <f t="shared" si="8"/>
        <v>3.75</v>
      </c>
      <c r="U13" s="34">
        <f>V13*W13-3</f>
        <v>20.680000000000003</v>
      </c>
      <c r="V13" s="34">
        <f>(C13-2*T13)/S13+2</f>
        <v>7.4</v>
      </c>
      <c r="W13" s="34">
        <f>(D13-2*T13)/S13+1</f>
        <v>3.2</v>
      </c>
      <c r="X13" s="34">
        <f>E13*J13*1*C13*D13/(0.8*(V13*W13))</f>
        <v>13682.43243243243</v>
      </c>
      <c r="Y13" s="29">
        <v>12500</v>
      </c>
      <c r="Z13" s="29">
        <v>107</v>
      </c>
      <c r="AD13" s="21">
        <v>102.9952</v>
      </c>
      <c r="AH13">
        <v>5</v>
      </c>
      <c r="AI13" s="50" t="s">
        <v>103</v>
      </c>
    </row>
    <row r="14" spans="1:38" ht="24.6" customHeight="1" x14ac:dyDescent="0.25">
      <c r="A14" s="36">
        <v>11</v>
      </c>
      <c r="B14" s="48" t="s">
        <v>104</v>
      </c>
      <c r="C14" s="36">
        <v>48</v>
      </c>
      <c r="D14" s="36">
        <v>24</v>
      </c>
      <c r="E14" s="36">
        <v>75</v>
      </c>
      <c r="F14" s="60"/>
      <c r="G14" s="46">
        <v>8</v>
      </c>
      <c r="H14" s="5">
        <f t="shared" si="0"/>
        <v>0.38821373456790126</v>
      </c>
      <c r="I14" s="12">
        <f t="shared" si="7"/>
        <v>1152</v>
      </c>
      <c r="J14" s="3">
        <v>1.5</v>
      </c>
      <c r="K14" s="3">
        <v>0.5</v>
      </c>
      <c r="L14" s="5">
        <f t="shared" si="2"/>
        <v>0.44722222222222224</v>
      </c>
      <c r="M14" s="5">
        <f t="shared" si="3"/>
        <v>0.3354166666666667</v>
      </c>
      <c r="N14" s="5">
        <f t="shared" si="4"/>
        <v>0.1624497059976964</v>
      </c>
      <c r="O14" s="29">
        <f t="shared" si="5"/>
        <v>-8.9075630252100986</v>
      </c>
      <c r="P14" s="58">
        <f>G14-R14-1</f>
        <v>6</v>
      </c>
      <c r="Q14" s="42">
        <f t="shared" si="6"/>
        <v>0.38821373456790126</v>
      </c>
      <c r="R14" s="32">
        <v>1</v>
      </c>
      <c r="S14" s="33">
        <f>1.2*P14</f>
        <v>7.1999999999999993</v>
      </c>
      <c r="T14" s="33">
        <f t="shared" si="8"/>
        <v>3.5999999999999996</v>
      </c>
      <c r="U14" s="34">
        <f>V14*W14-1</f>
        <v>17.888888888888889</v>
      </c>
      <c r="V14" s="34">
        <f>(C14-2*T14)/S14</f>
        <v>5.666666666666667</v>
      </c>
      <c r="W14" s="34">
        <f>(D14-2*T14)/S14+1</f>
        <v>3.3333333333333335</v>
      </c>
      <c r="X14" s="34">
        <f>E14*J14*1*C14*D14/(1.4*(V14*W14))</f>
        <v>4900.8403361344544</v>
      </c>
      <c r="Y14" s="29">
        <v>4500</v>
      </c>
      <c r="Z14" s="29">
        <v>25</v>
      </c>
      <c r="AD14" s="21">
        <v>32.757551020408201</v>
      </c>
      <c r="AH14">
        <v>6</v>
      </c>
      <c r="AI14" s="50" t="s">
        <v>105</v>
      </c>
    </row>
    <row r="15" spans="1:38" ht="24.6" customHeight="1" x14ac:dyDescent="0.25">
      <c r="A15" s="36">
        <v>12</v>
      </c>
      <c r="B15" s="1" t="s">
        <v>106</v>
      </c>
      <c r="C15" s="36">
        <v>24</v>
      </c>
      <c r="D15" s="36">
        <v>24</v>
      </c>
      <c r="E15" s="8">
        <v>250</v>
      </c>
      <c r="F15" s="61"/>
      <c r="G15" s="46">
        <v>9</v>
      </c>
      <c r="H15" s="5">
        <f t="shared" si="0"/>
        <v>2.1486168503213956</v>
      </c>
      <c r="I15" s="12">
        <f t="shared" si="7"/>
        <v>576</v>
      </c>
      <c r="J15" s="8">
        <v>1.5</v>
      </c>
      <c r="K15" s="8">
        <v>0.5</v>
      </c>
      <c r="L15" s="5">
        <f t="shared" si="2"/>
        <v>1.2376033057851239</v>
      </c>
      <c r="M15" s="5">
        <f t="shared" si="3"/>
        <v>0.92820247933884292</v>
      </c>
      <c r="N15" s="5">
        <f t="shared" si="4"/>
        <v>0.44954897850910175</v>
      </c>
      <c r="O15" s="29">
        <f t="shared" si="5"/>
        <v>-10.000000000000018</v>
      </c>
      <c r="P15" s="58">
        <f>G15-R15-2</f>
        <v>4</v>
      </c>
      <c r="Q15" s="42">
        <f t="shared" si="6"/>
        <v>2.1486168503213956</v>
      </c>
      <c r="R15" s="32">
        <v>3</v>
      </c>
      <c r="S15" s="33">
        <f>1.1*P15</f>
        <v>4.4000000000000004</v>
      </c>
      <c r="T15" s="33">
        <f t="shared" si="8"/>
        <v>2.2000000000000002</v>
      </c>
      <c r="U15" s="34">
        <f>V15*W15-5</f>
        <v>24.752066115702476</v>
      </c>
      <c r="V15" s="34">
        <f>(C15-2*T15)/S15+1</f>
        <v>5.4545454545454541</v>
      </c>
      <c r="W15" s="34">
        <f>(D15-2*T15)/S15+1</f>
        <v>5.4545454545454541</v>
      </c>
      <c r="X15" s="34">
        <f>E15*J15*1*C15*D15/(1.2*(V15*W15))</f>
        <v>6050.0000000000009</v>
      </c>
      <c r="Y15" s="29">
        <v>5500</v>
      </c>
      <c r="Z15" s="29">
        <v>50</v>
      </c>
      <c r="AD15" s="21"/>
      <c r="AH15">
        <v>7</v>
      </c>
      <c r="AI15" s="50" t="s">
        <v>98</v>
      </c>
    </row>
    <row r="16" spans="1:38" ht="18.75" x14ac:dyDescent="0.25">
      <c r="A16" s="62">
        <v>13</v>
      </c>
      <c r="B16" s="48" t="s">
        <v>107</v>
      </c>
      <c r="C16" s="36">
        <v>24</v>
      </c>
      <c r="D16" s="36">
        <v>48</v>
      </c>
      <c r="E16" s="8">
        <v>150</v>
      </c>
      <c r="F16" s="35"/>
      <c r="G16" s="46">
        <v>10</v>
      </c>
      <c r="H16" s="5">
        <f t="shared" si="0"/>
        <v>3.8500000000000005</v>
      </c>
      <c r="I16" s="12">
        <f t="shared" si="7"/>
        <v>1152</v>
      </c>
      <c r="J16" s="8">
        <v>1.5</v>
      </c>
      <c r="K16" s="8">
        <v>0.5</v>
      </c>
      <c r="L16" s="5">
        <f t="shared" si="2"/>
        <v>4.4352000000000009</v>
      </c>
      <c r="M16" s="5">
        <f t="shared" si="3"/>
        <v>3.3264000000000005</v>
      </c>
      <c r="N16" s="5">
        <f t="shared" si="4"/>
        <v>1.6110490495326328</v>
      </c>
      <c r="O16" s="29">
        <f t="shared" si="5"/>
        <v>12.413494809688586</v>
      </c>
      <c r="P16" s="63">
        <f>G16-R16-2</f>
        <v>5</v>
      </c>
      <c r="Q16" s="42">
        <f t="shared" si="6"/>
        <v>3.8500000000000005</v>
      </c>
      <c r="R16" s="29">
        <v>3</v>
      </c>
      <c r="S16" s="33">
        <f>1.5*P16</f>
        <v>7.5</v>
      </c>
      <c r="T16" s="64">
        <f t="shared" si="8"/>
        <v>3.75</v>
      </c>
      <c r="U16" s="34">
        <f>V16*W16-2</f>
        <v>18.480000000000004</v>
      </c>
      <c r="V16" s="34">
        <f>(C16-2*T16)/S16+1</f>
        <v>3.2</v>
      </c>
      <c r="W16" s="34">
        <f>(D16-2*T16)/S16+1</f>
        <v>6.4</v>
      </c>
      <c r="X16" s="29">
        <f>E16*J16*1*C16*D16/(1.7*(V16*W16))</f>
        <v>7444.8529411764703</v>
      </c>
      <c r="Y16" s="29">
        <v>8500</v>
      </c>
      <c r="Z16" s="29">
        <v>240</v>
      </c>
      <c r="AH16">
        <v>8</v>
      </c>
      <c r="AI16" s="50" t="s">
        <v>100</v>
      </c>
    </row>
    <row r="17" spans="1:35" ht="31.5" x14ac:dyDescent="0.25">
      <c r="A17" s="65">
        <v>14</v>
      </c>
      <c r="B17" s="66" t="s">
        <v>108</v>
      </c>
      <c r="C17" s="65">
        <v>36</v>
      </c>
      <c r="D17" s="65">
        <v>48</v>
      </c>
      <c r="E17" s="67">
        <v>200</v>
      </c>
      <c r="F17" s="68"/>
      <c r="G17" s="69">
        <v>11</v>
      </c>
      <c r="H17" s="70">
        <f t="shared" si="0"/>
        <v>2.4652777777777781</v>
      </c>
      <c r="I17" s="71">
        <f t="shared" si="7"/>
        <v>1728</v>
      </c>
      <c r="J17" s="67">
        <v>1.5</v>
      </c>
      <c r="K17" s="67">
        <v>0.5</v>
      </c>
      <c r="L17" s="72">
        <f t="shared" si="2"/>
        <v>4.2600000000000007</v>
      </c>
      <c r="M17" s="72">
        <f t="shared" si="3"/>
        <v>3.1950000000000003</v>
      </c>
      <c r="N17" s="72">
        <f t="shared" si="4"/>
        <v>1.5474091249569391</v>
      </c>
      <c r="O17" s="29">
        <f t="shared" si="5"/>
        <v>-0.30959752321978157</v>
      </c>
      <c r="P17" s="63">
        <f>G17-R17-2</f>
        <v>6</v>
      </c>
      <c r="Q17" s="42">
        <f t="shared" si="6"/>
        <v>2.4652777777777781</v>
      </c>
      <c r="R17" s="29">
        <v>3</v>
      </c>
      <c r="S17" s="33">
        <f>1.2*P17</f>
        <v>7.1999999999999993</v>
      </c>
      <c r="T17" s="64">
        <f t="shared" si="8"/>
        <v>3.5999999999999996</v>
      </c>
      <c r="U17" s="34">
        <f>V17*W17+1</f>
        <v>23.666666666666671</v>
      </c>
      <c r="V17" s="34">
        <f>(C17-2*T17)/S17</f>
        <v>4.0000000000000009</v>
      </c>
      <c r="W17" s="34">
        <f>(D17-2*T17)/S17</f>
        <v>5.666666666666667</v>
      </c>
      <c r="X17" s="29">
        <f>E17*J17*1*C17*D17/(1.2*(V17*W17))</f>
        <v>19058.823529411758</v>
      </c>
      <c r="Y17" s="29">
        <v>19000</v>
      </c>
      <c r="Z17" s="29">
        <v>180</v>
      </c>
      <c r="AH17">
        <v>9</v>
      </c>
      <c r="AI17" s="50" t="s">
        <v>100</v>
      </c>
    </row>
    <row r="18" spans="1:35" ht="15.75" x14ac:dyDescent="0.25">
      <c r="A18" s="51">
        <v>15</v>
      </c>
      <c r="B18" s="73" t="s">
        <v>109</v>
      </c>
      <c r="C18" s="51">
        <v>24</v>
      </c>
      <c r="D18" s="51">
        <v>16</v>
      </c>
      <c r="E18" s="74">
        <v>250</v>
      </c>
      <c r="F18" s="53"/>
      <c r="G18" s="54">
        <v>12</v>
      </c>
      <c r="H18" s="55">
        <f t="shared" si="0"/>
        <v>1.71875</v>
      </c>
      <c r="I18" s="56">
        <f t="shared" si="7"/>
        <v>384</v>
      </c>
      <c r="J18" s="74">
        <v>1.5</v>
      </c>
      <c r="K18" s="74">
        <v>0.5</v>
      </c>
      <c r="L18" s="55">
        <f t="shared" si="2"/>
        <v>0.66</v>
      </c>
      <c r="M18" s="55">
        <f t="shared" si="3"/>
        <v>0.495</v>
      </c>
      <c r="N18" s="55">
        <f t="shared" si="4"/>
        <v>0.239739441894737</v>
      </c>
      <c r="O18" s="29">
        <f t="shared" si="5"/>
        <v>11.76470588235294</v>
      </c>
      <c r="P18" s="63">
        <f>G18-R18-1</f>
        <v>8</v>
      </c>
      <c r="Q18" s="42">
        <f t="shared" si="6"/>
        <v>1.71875</v>
      </c>
      <c r="R18" s="40">
        <v>3</v>
      </c>
      <c r="S18" s="33">
        <f>0.5*P18</f>
        <v>4</v>
      </c>
      <c r="T18" s="64">
        <f t="shared" si="8"/>
        <v>2</v>
      </c>
      <c r="U18" s="34">
        <f>V18*W18</f>
        <v>12</v>
      </c>
      <c r="V18" s="34">
        <f>(C18-2*T18)/S18-1</f>
        <v>4</v>
      </c>
      <c r="W18" s="34">
        <f>(D18-2*T18)/S18</f>
        <v>3</v>
      </c>
      <c r="X18" s="29">
        <f>E18*J18*1*C18*D18/(1.7*(V18*W18))</f>
        <v>7058.8235294117649</v>
      </c>
      <c r="Y18" s="29">
        <v>8000</v>
      </c>
      <c r="Z18" s="29">
        <v>55</v>
      </c>
      <c r="AH18">
        <v>10</v>
      </c>
      <c r="AI18" s="50" t="s">
        <v>100</v>
      </c>
    </row>
    <row r="19" spans="1:35" ht="15.75" x14ac:dyDescent="0.25">
      <c r="A19" s="1"/>
      <c r="B19" s="1" t="s">
        <v>110</v>
      </c>
      <c r="C19" s="36">
        <v>16</v>
      </c>
      <c r="D19" s="36">
        <v>24</v>
      </c>
      <c r="E19" s="8">
        <v>250</v>
      </c>
      <c r="F19" s="75"/>
      <c r="G19" s="46">
        <v>12</v>
      </c>
      <c r="H19" s="55">
        <f t="shared" si="0"/>
        <v>1.71875</v>
      </c>
      <c r="I19" s="12">
        <f t="shared" si="7"/>
        <v>384</v>
      </c>
      <c r="J19" s="74">
        <v>1.5</v>
      </c>
      <c r="K19" s="74">
        <v>0.5</v>
      </c>
      <c r="L19" s="55">
        <f t="shared" si="2"/>
        <v>0.66</v>
      </c>
      <c r="M19" s="55">
        <f t="shared" si="3"/>
        <v>0.495</v>
      </c>
      <c r="N19" s="55">
        <f t="shared" si="4"/>
        <v>0.239739441894737</v>
      </c>
      <c r="O19" s="29">
        <f t="shared" si="5"/>
        <v>11.76470588235294</v>
      </c>
      <c r="P19" s="63">
        <f>G19-R19-1</f>
        <v>8</v>
      </c>
      <c r="Q19" s="42">
        <f t="shared" si="6"/>
        <v>1.71875</v>
      </c>
      <c r="R19" s="43">
        <v>3</v>
      </c>
      <c r="S19" s="33">
        <f>0.5*P19</f>
        <v>4</v>
      </c>
      <c r="T19" s="64">
        <f t="shared" si="8"/>
        <v>2</v>
      </c>
      <c r="U19" s="34">
        <f>V19*W19</f>
        <v>12</v>
      </c>
      <c r="V19" s="34">
        <f>(C19-2*T19)/S19</f>
        <v>3</v>
      </c>
      <c r="W19" s="34">
        <f>(D19-2*T19)/S19-1</f>
        <v>4</v>
      </c>
      <c r="X19" s="29">
        <f>E19*J19*1*C19*D19/(1.7*(V19*W19))</f>
        <v>7058.8235294117649</v>
      </c>
      <c r="Y19" s="29">
        <v>8000</v>
      </c>
      <c r="Z19" s="29">
        <v>55</v>
      </c>
      <c r="AH19">
        <v>11</v>
      </c>
      <c r="AI19" s="50" t="s">
        <v>98</v>
      </c>
    </row>
    <row r="20" spans="1:35" ht="15.75" x14ac:dyDescent="0.25">
      <c r="A20" s="1"/>
      <c r="B20" s="1" t="s">
        <v>111</v>
      </c>
      <c r="C20" s="36">
        <v>8</v>
      </c>
      <c r="D20" s="36">
        <v>8</v>
      </c>
      <c r="E20" s="8">
        <v>200</v>
      </c>
      <c r="F20" s="75"/>
      <c r="G20" s="46">
        <v>12</v>
      </c>
      <c r="H20" s="55">
        <f t="shared" si="0"/>
        <v>2.5</v>
      </c>
      <c r="I20" s="12">
        <f t="shared" si="7"/>
        <v>64</v>
      </c>
      <c r="J20" s="74">
        <v>1.5</v>
      </c>
      <c r="K20" s="74">
        <v>0.5</v>
      </c>
      <c r="L20" s="55">
        <f t="shared" si="2"/>
        <v>0.16</v>
      </c>
      <c r="M20" s="55">
        <f t="shared" si="3"/>
        <v>0.12</v>
      </c>
      <c r="N20" s="55">
        <f t="shared" si="4"/>
        <v>5.8118652580542302E-2</v>
      </c>
      <c r="O20" s="29">
        <f t="shared" si="5"/>
        <v>5.882352941176471</v>
      </c>
      <c r="P20" s="63">
        <f>G20-R20-1</f>
        <v>8</v>
      </c>
      <c r="Q20" s="42">
        <f t="shared" si="6"/>
        <v>2.5</v>
      </c>
      <c r="R20" s="40">
        <v>3</v>
      </c>
      <c r="S20" s="33">
        <f>0.5*P20</f>
        <v>4</v>
      </c>
      <c r="T20" s="64">
        <f t="shared" si="8"/>
        <v>2</v>
      </c>
      <c r="U20" s="34">
        <f>V20*W20+1</f>
        <v>2</v>
      </c>
      <c r="V20" s="34">
        <f>(C20-2*T20)/S20</f>
        <v>1</v>
      </c>
      <c r="W20" s="34">
        <f>(D20-2*T20)/S20</f>
        <v>1</v>
      </c>
      <c r="X20" s="29">
        <f>E20*J20*1*C20*D20/(1.7*(V20*W20))</f>
        <v>11294.117647058823</v>
      </c>
      <c r="Y20" s="29">
        <v>12000</v>
      </c>
      <c r="Z20" s="29">
        <v>80</v>
      </c>
      <c r="AH20">
        <v>12</v>
      </c>
      <c r="AI20" s="50" t="s">
        <v>112</v>
      </c>
    </row>
    <row r="21" spans="1:35" ht="31.5" x14ac:dyDescent="0.25">
      <c r="A21" s="75"/>
      <c r="B21" s="48" t="s">
        <v>113</v>
      </c>
      <c r="C21" s="36">
        <v>560</v>
      </c>
      <c r="D21" s="36">
        <v>340</v>
      </c>
      <c r="E21" s="36">
        <v>10</v>
      </c>
      <c r="F21" s="3"/>
      <c r="G21" s="46">
        <v>13</v>
      </c>
      <c r="H21" s="5">
        <f t="shared" si="0"/>
        <v>1.5902133164799808</v>
      </c>
      <c r="I21" s="12">
        <f t="shared" si="7"/>
        <v>190400</v>
      </c>
      <c r="J21" s="3">
        <v>1.5</v>
      </c>
      <c r="K21" s="3">
        <v>0.5</v>
      </c>
      <c r="L21" s="5">
        <f t="shared" si="2"/>
        <v>302.77661545778835</v>
      </c>
      <c r="M21" s="5">
        <f t="shared" si="3"/>
        <v>227.08246159334126</v>
      </c>
      <c r="N21" s="5">
        <f t="shared" si="4"/>
        <v>109.98105577064786</v>
      </c>
      <c r="O21" s="29">
        <f t="shared" si="5"/>
        <v>94.751685732332405</v>
      </c>
      <c r="P21" s="63">
        <f>G21-R21-2</f>
        <v>8</v>
      </c>
      <c r="Q21" s="42">
        <f t="shared" si="6"/>
        <v>1.5902133164799808</v>
      </c>
      <c r="R21" s="40">
        <v>3</v>
      </c>
      <c r="S21" s="33">
        <f>1.45*P21</f>
        <v>11.6</v>
      </c>
      <c r="T21" s="64">
        <f>0.7*S21</f>
        <v>8.1199999999999992</v>
      </c>
      <c r="U21" s="34">
        <f>V21*W21+8</f>
        <v>1288.4111296076101</v>
      </c>
      <c r="V21" s="34">
        <f>(C21-2*T21)/S21-1</f>
        <v>45.875862068965517</v>
      </c>
      <c r="W21" s="34">
        <f>(D21-2*T21)/S21</f>
        <v>27.910344827586208</v>
      </c>
      <c r="X21" s="29">
        <f>E21*J21*1*C21*D21/(1.7*(V21*W21))</f>
        <v>1312.0785669168984</v>
      </c>
      <c r="Y21" s="29">
        <v>25000</v>
      </c>
      <c r="Z21" s="29">
        <v>235</v>
      </c>
      <c r="AH21">
        <v>13</v>
      </c>
      <c r="AI21" s="50" t="s">
        <v>103</v>
      </c>
    </row>
    <row r="22" spans="1:35" ht="15.75" x14ac:dyDescent="0.25">
      <c r="A22" s="75"/>
      <c r="B22" s="4" t="s">
        <v>114</v>
      </c>
      <c r="C22" s="36"/>
      <c r="D22" s="36"/>
      <c r="E22" s="36"/>
      <c r="F22" s="3"/>
      <c r="G22" s="36"/>
      <c r="H22" s="5"/>
      <c r="I22" s="5"/>
      <c r="J22" s="3"/>
      <c r="K22" s="3"/>
      <c r="L22" s="5">
        <f>SUM(L4:L21)</f>
        <v>359.38223694657984</v>
      </c>
      <c r="M22" s="5">
        <f>SUM(M4:M21)</f>
        <v>271.95290696469857</v>
      </c>
      <c r="N22" s="5">
        <f t="shared" si="4"/>
        <v>131.7128043179155</v>
      </c>
      <c r="Q22" s="75"/>
      <c r="AH22">
        <v>14</v>
      </c>
      <c r="AI22" s="50" t="s">
        <v>100</v>
      </c>
    </row>
    <row r="23" spans="1:35" ht="15.75" x14ac:dyDescent="0.25">
      <c r="M23" s="76">
        <f>SUM(M18:M20)</f>
        <v>1.1099999999999999</v>
      </c>
      <c r="N23" s="76">
        <f>SUM(N18:N20)</f>
        <v>0.53759753637001628</v>
      </c>
      <c r="AH23">
        <v>15</v>
      </c>
      <c r="AI23" s="50" t="s">
        <v>98</v>
      </c>
    </row>
    <row r="24" spans="1:35" x14ac:dyDescent="0.25">
      <c r="AH24" t="s">
        <v>115</v>
      </c>
      <c r="AI24" s="50" t="s">
        <v>116</v>
      </c>
    </row>
    <row r="25" spans="1:35" x14ac:dyDescent="0.25">
      <c r="I25" s="20">
        <f>SUM(I4:I15)</f>
        <v>22464</v>
      </c>
    </row>
    <row r="28" spans="1:35" x14ac:dyDescent="0.25">
      <c r="I28" s="20">
        <f>10*1*22307*0.3/600</f>
        <v>111.535</v>
      </c>
    </row>
  </sheetData>
  <mergeCells count="2">
    <mergeCell ref="A1:M1"/>
    <mergeCell ref="A2:M2"/>
  </mergeCells>
  <hyperlinks>
    <hyperlink ref="AI24" r:id="rId1" xr:uid="{00000000-0004-0000-0100-000000000000}"/>
  </hyperlink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9"/>
  <sheetViews>
    <sheetView workbookViewId="0">
      <selection sqref="A1:O1"/>
    </sheetView>
  </sheetViews>
  <sheetFormatPr defaultColWidth="9.140625" defaultRowHeight="15" x14ac:dyDescent="0.25"/>
  <cols>
    <col min="1" max="1" width="27.7109375" style="75" customWidth="1"/>
    <col min="2" max="4" width="9.140625" style="75" bestFit="1" customWidth="1"/>
    <col min="5" max="5" width="13.28515625" style="75" customWidth="1"/>
    <col min="6" max="7" width="9.140625" style="75" bestFit="1" customWidth="1"/>
    <col min="8" max="8" width="17.42578125" style="75" bestFit="1" customWidth="1"/>
    <col min="9" max="9" width="10" style="75" customWidth="1"/>
    <col min="10" max="10" width="11.85546875" style="75" customWidth="1"/>
    <col min="11" max="12" width="9.140625" style="75" bestFit="1" customWidth="1"/>
    <col min="13" max="13" width="16.7109375" style="75" customWidth="1"/>
    <col min="14" max="14" width="20.7109375" style="75" customWidth="1"/>
    <col min="15" max="15" width="15.42578125" style="75" customWidth="1"/>
    <col min="16" max="18" width="9.140625" style="75" bestFit="1" customWidth="1"/>
    <col min="19" max="19" width="23.42578125" style="75" customWidth="1"/>
    <col min="20" max="20" width="4.42578125" style="75" customWidth="1"/>
    <col min="21" max="21" width="9" style="75" customWidth="1"/>
    <col min="22" max="22" width="8.85546875" style="75" customWidth="1"/>
    <col min="23" max="23" width="26.85546875" style="75" customWidth="1"/>
    <col min="24" max="24" width="13.5703125" style="75" customWidth="1"/>
    <col min="25" max="25" width="21.7109375" style="75" customWidth="1"/>
    <col min="26" max="26" width="9.140625" style="75" bestFit="1" customWidth="1"/>
    <col min="27" max="16384" width="9.140625" style="75"/>
  </cols>
  <sheetData>
    <row r="1" spans="1:29" ht="18.75" x14ac:dyDescent="0.3">
      <c r="A1" s="532" t="s">
        <v>117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4"/>
    </row>
    <row r="2" spans="1:29" ht="18.75" x14ac:dyDescent="0.3">
      <c r="A2" s="535" t="s">
        <v>118</v>
      </c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7"/>
    </row>
    <row r="3" spans="1:29" ht="15.75" x14ac:dyDescent="0.25">
      <c r="A3" s="482" t="s">
        <v>2</v>
      </c>
      <c r="B3" s="483"/>
      <c r="C3" s="483"/>
      <c r="D3" s="483"/>
      <c r="E3" s="483"/>
      <c r="F3" s="483"/>
      <c r="G3" s="483"/>
      <c r="H3" s="484"/>
      <c r="I3" s="482" t="s">
        <v>3</v>
      </c>
      <c r="J3" s="484"/>
      <c r="K3" s="538" t="s">
        <v>5</v>
      </c>
      <c r="L3" s="493" t="s">
        <v>6</v>
      </c>
      <c r="M3" s="482" t="s">
        <v>7</v>
      </c>
      <c r="N3" s="483"/>
      <c r="O3" s="484"/>
      <c r="P3" s="550" t="s">
        <v>8</v>
      </c>
      <c r="T3" s="544" t="s">
        <v>119</v>
      </c>
      <c r="U3" s="545"/>
      <c r="V3" s="545"/>
      <c r="W3" s="546"/>
    </row>
    <row r="4" spans="1:29" ht="15.75" x14ac:dyDescent="0.25">
      <c r="A4" s="482" t="s">
        <v>9</v>
      </c>
      <c r="B4" s="483"/>
      <c r="C4" s="483"/>
      <c r="D4" s="483"/>
      <c r="E4" s="484"/>
      <c r="F4" s="482" t="s">
        <v>10</v>
      </c>
      <c r="G4" s="483"/>
      <c r="H4" s="484"/>
      <c r="I4" s="482" t="s">
        <v>11</v>
      </c>
      <c r="J4" s="482" t="s">
        <v>12</v>
      </c>
      <c r="K4" s="539"/>
      <c r="L4" s="541"/>
      <c r="M4" s="482" t="s">
        <v>13</v>
      </c>
      <c r="N4" s="507" t="s">
        <v>14</v>
      </c>
      <c r="O4" s="509" t="s">
        <v>15</v>
      </c>
      <c r="P4" s="551"/>
    </row>
    <row r="5" spans="1:29" ht="15.75" x14ac:dyDescent="0.25">
      <c r="A5" s="493" t="s">
        <v>16</v>
      </c>
      <c r="B5" s="553" t="s">
        <v>17</v>
      </c>
      <c r="C5" s="553" t="s">
        <v>18</v>
      </c>
      <c r="D5" s="555"/>
      <c r="E5" s="556"/>
      <c r="F5" s="557" t="s">
        <v>19</v>
      </c>
      <c r="G5" s="557" t="s">
        <v>20</v>
      </c>
      <c r="H5" s="488" t="s">
        <v>21</v>
      </c>
      <c r="I5" s="511"/>
      <c r="J5" s="511"/>
      <c r="K5" s="539"/>
      <c r="L5" s="541"/>
      <c r="M5" s="511"/>
      <c r="N5" s="508"/>
      <c r="O5" s="510"/>
      <c r="P5" s="551"/>
    </row>
    <row r="6" spans="1:29" ht="47.25" x14ac:dyDescent="0.25">
      <c r="A6" s="494"/>
      <c r="B6" s="554"/>
      <c r="C6" s="81" t="s">
        <v>120</v>
      </c>
      <c r="D6" s="81" t="s">
        <v>121</v>
      </c>
      <c r="E6" s="80" t="s">
        <v>24</v>
      </c>
      <c r="F6" s="558"/>
      <c r="G6" s="558"/>
      <c r="H6" s="489"/>
      <c r="I6" s="2" t="s">
        <v>25</v>
      </c>
      <c r="J6" s="2" t="s">
        <v>26</v>
      </c>
      <c r="K6" s="540"/>
      <c r="L6" s="494"/>
      <c r="M6" s="3" t="s">
        <v>27</v>
      </c>
      <c r="N6" s="3" t="s">
        <v>28</v>
      </c>
      <c r="O6" s="3" t="s">
        <v>29</v>
      </c>
      <c r="P6" s="552"/>
    </row>
    <row r="7" spans="1:29" ht="18.75" x14ac:dyDescent="0.3">
      <c r="A7" s="2">
        <v>2</v>
      </c>
      <c r="B7" s="2">
        <v>3</v>
      </c>
      <c r="C7" s="2">
        <v>4</v>
      </c>
      <c r="D7" s="2"/>
      <c r="E7" s="2">
        <v>5</v>
      </c>
      <c r="F7" s="2">
        <v>6</v>
      </c>
      <c r="G7" s="7">
        <v>7</v>
      </c>
      <c r="H7" s="2">
        <v>9</v>
      </c>
      <c r="I7" s="2">
        <v>8</v>
      </c>
      <c r="J7" s="2">
        <v>9</v>
      </c>
      <c r="K7" s="82">
        <v>10</v>
      </c>
      <c r="L7" s="2">
        <v>11</v>
      </c>
      <c r="M7" s="2">
        <v>12</v>
      </c>
      <c r="N7" s="2">
        <v>13</v>
      </c>
      <c r="O7" s="2">
        <v>14</v>
      </c>
      <c r="P7" s="79">
        <v>15</v>
      </c>
    </row>
    <row r="8" spans="1:29" ht="18.75" x14ac:dyDescent="0.25">
      <c r="A8" s="519" t="s">
        <v>122</v>
      </c>
      <c r="B8" s="520"/>
      <c r="C8" s="520"/>
      <c r="D8" s="520"/>
      <c r="E8" s="520"/>
      <c r="F8" s="520"/>
      <c r="G8" s="520"/>
      <c r="H8" s="520"/>
      <c r="I8" s="520"/>
      <c r="J8" s="520"/>
      <c r="K8" s="520"/>
      <c r="L8" s="520"/>
      <c r="M8" s="520"/>
      <c r="N8" s="520"/>
      <c r="O8" s="521"/>
    </row>
    <row r="9" spans="1:29" ht="15.75" x14ac:dyDescent="0.25">
      <c r="A9" s="84" t="s">
        <v>123</v>
      </c>
      <c r="B9" s="85">
        <v>80</v>
      </c>
      <c r="C9" s="85">
        <v>5</v>
      </c>
      <c r="D9" s="85">
        <v>110</v>
      </c>
      <c r="E9" s="86">
        <v>2200</v>
      </c>
      <c r="F9" s="85">
        <v>0.42</v>
      </c>
      <c r="G9" s="87">
        <v>0.7</v>
      </c>
      <c r="H9" s="87">
        <f>TAN(ACOS(G9))</f>
        <v>1.0202040612204071</v>
      </c>
      <c r="I9" s="88">
        <f>E9*F9</f>
        <v>924</v>
      </c>
      <c r="J9" s="86">
        <f>I9*H9</f>
        <v>942.66855256765609</v>
      </c>
      <c r="K9" s="88">
        <f>2*E9/D9</f>
        <v>40</v>
      </c>
      <c r="L9" s="85">
        <v>0.7</v>
      </c>
      <c r="M9" s="85">
        <f>I9*L9</f>
        <v>646.79999999999995</v>
      </c>
      <c r="N9" s="86">
        <f>J9</f>
        <v>942.66855256765609</v>
      </c>
      <c r="O9" s="87">
        <f>SQRT(POWER(M9, 2)+POWER(N9, 2))</f>
        <v>1143.2297406908201</v>
      </c>
      <c r="P9" s="89"/>
    </row>
    <row r="10" spans="1:29" ht="15.75" x14ac:dyDescent="0.25">
      <c r="A10" s="84" t="s">
        <v>124</v>
      </c>
      <c r="B10" s="85"/>
      <c r="C10" s="90"/>
      <c r="D10" s="90"/>
      <c r="E10" s="86">
        <f>СВЕТ!L4</f>
        <v>4.5865959520998461</v>
      </c>
      <c r="F10" s="91"/>
      <c r="G10" s="92"/>
      <c r="H10" s="92"/>
      <c r="I10" s="86">
        <f>M10</f>
        <v>4.1738023164108595</v>
      </c>
      <c r="J10" s="86">
        <f>N10</f>
        <v>2.0214647230612122</v>
      </c>
      <c r="K10" s="93"/>
      <c r="L10" s="91"/>
      <c r="M10" s="86">
        <f>СВЕТ!M4</f>
        <v>4.1738023164108595</v>
      </c>
      <c r="N10" s="86">
        <f>СВЕТ!N4</f>
        <v>2.0214647230612122</v>
      </c>
      <c r="O10" s="86">
        <f>SQRT(POWER(M10, 2)+POWER(N10, 2))</f>
        <v>4.6375581293453996</v>
      </c>
      <c r="P10" s="89"/>
      <c r="U10" s="75" t="s">
        <v>125</v>
      </c>
      <c r="V10" s="75" t="s">
        <v>126</v>
      </c>
      <c r="W10" s="75" t="s">
        <v>127</v>
      </c>
      <c r="X10" s="75" t="s">
        <v>128</v>
      </c>
      <c r="Y10" s="75" t="s">
        <v>129</v>
      </c>
      <c r="AA10" s="75" t="s">
        <v>130</v>
      </c>
      <c r="AC10" s="75" t="s">
        <v>131</v>
      </c>
    </row>
    <row r="11" spans="1:29" ht="18.75" x14ac:dyDescent="0.3">
      <c r="A11" s="84" t="s">
        <v>132</v>
      </c>
      <c r="B11" s="94">
        <f>B9</f>
        <v>80</v>
      </c>
      <c r="C11" s="94">
        <f>C9</f>
        <v>5</v>
      </c>
      <c r="D11" s="94">
        <f>D9</f>
        <v>110</v>
      </c>
      <c r="E11" s="95">
        <f>SUM(E9:E10)</f>
        <v>2204.5865959520997</v>
      </c>
      <c r="F11" s="96">
        <f>I11/E11</f>
        <v>0.42101943467344649</v>
      </c>
      <c r="G11" s="96">
        <f>COS(ATAN(H11))</f>
        <v>0.70084377052161706</v>
      </c>
      <c r="H11" s="96">
        <f>J11/I11</f>
        <v>1.0177943128033644</v>
      </c>
      <c r="I11" s="96">
        <f>SUM(I9:I10)</f>
        <v>928.17380231641084</v>
      </c>
      <c r="J11" s="95">
        <f>SUM(J9:J10)</f>
        <v>944.69001729071726</v>
      </c>
      <c r="K11" s="97">
        <v>40</v>
      </c>
      <c r="L11" s="95">
        <v>0.7</v>
      </c>
      <c r="M11" s="95">
        <f>SUM(M9:M10)</f>
        <v>650.9738023164108</v>
      </c>
      <c r="N11" s="95">
        <f>SUM(N9:N10)</f>
        <v>944.69001729071726</v>
      </c>
      <c r="O11" s="95">
        <f>SQRT(POWER(M11, 2)+POWER(N11, 2))</f>
        <v>1147.2602669277017</v>
      </c>
      <c r="P11" s="98">
        <f>O11/(1.73*0.38)</f>
        <v>1745.1479569937658</v>
      </c>
      <c r="S11" s="99"/>
      <c r="T11" s="100"/>
      <c r="U11" s="101">
        <f>M71</f>
        <v>7637.6104453713579</v>
      </c>
      <c r="V11" s="99">
        <v>0.7</v>
      </c>
      <c r="W11" s="101">
        <v>1600</v>
      </c>
      <c r="X11" s="102">
        <f>U11/(V11*W11)</f>
        <v>6.8192950405101413</v>
      </c>
      <c r="Y11" s="101">
        <v>0.17</v>
      </c>
      <c r="Z11" s="101">
        <f>X11+Y11</f>
        <v>6.9892950405101413</v>
      </c>
      <c r="AA11" s="99">
        <v>0</v>
      </c>
      <c r="AB11" s="103">
        <f>Z11+AA11</f>
        <v>6.9892950405101413</v>
      </c>
      <c r="AC11" s="101"/>
    </row>
    <row r="12" spans="1:29" ht="18.75" x14ac:dyDescent="0.3">
      <c r="A12" s="519" t="s">
        <v>133</v>
      </c>
      <c r="B12" s="520"/>
      <c r="C12" s="520"/>
      <c r="D12" s="520"/>
      <c r="E12" s="520"/>
      <c r="F12" s="520"/>
      <c r="G12" s="520"/>
      <c r="H12" s="520"/>
      <c r="I12" s="520"/>
      <c r="J12" s="520"/>
      <c r="K12" s="520"/>
      <c r="L12" s="520"/>
      <c r="M12" s="520"/>
      <c r="N12" s="521"/>
      <c r="O12" s="104"/>
      <c r="U12" s="99"/>
      <c r="V12" s="99"/>
      <c r="W12" s="75" t="s">
        <v>134</v>
      </c>
      <c r="X12" s="101"/>
      <c r="Y12" s="101"/>
      <c r="Z12" s="99"/>
      <c r="AA12" s="99"/>
      <c r="AB12" s="99"/>
      <c r="AC12" s="99"/>
    </row>
    <row r="13" spans="1:29" ht="18.75" x14ac:dyDescent="0.3">
      <c r="A13" s="84" t="s">
        <v>123</v>
      </c>
      <c r="B13" s="105">
        <v>160</v>
      </c>
      <c r="C13" s="105">
        <v>3</v>
      </c>
      <c r="D13" s="105">
        <v>65</v>
      </c>
      <c r="E13" s="105">
        <v>3000</v>
      </c>
      <c r="F13" s="106">
        <v>0.4</v>
      </c>
      <c r="G13" s="106">
        <v>0.78</v>
      </c>
      <c r="H13" s="87">
        <f>TAN(ACOS(G13))</f>
        <v>0.80228142805959024</v>
      </c>
      <c r="I13" s="92">
        <f>E13*F13</f>
        <v>1200</v>
      </c>
      <c r="J13" s="92">
        <f>I13*H13</f>
        <v>962.73771367150835</v>
      </c>
      <c r="K13" s="88">
        <f>2*E13/D13</f>
        <v>92.307692307692307</v>
      </c>
      <c r="L13" s="85">
        <v>0.7</v>
      </c>
      <c r="M13" s="85">
        <f>I13*L13</f>
        <v>840</v>
      </c>
      <c r="N13" s="87">
        <f>J13</f>
        <v>962.73771367150835</v>
      </c>
      <c r="O13" s="87">
        <f>SQRT(POWER(M13, 2)+POWER(N13, 2))</f>
        <v>1277.6791089023266</v>
      </c>
      <c r="P13" s="89"/>
      <c r="S13" s="99" t="s">
        <v>135</v>
      </c>
      <c r="T13" s="107">
        <f>AB11</f>
        <v>6.9892950405101413</v>
      </c>
      <c r="U13" s="101"/>
      <c r="V13" s="99">
        <f>SQRT(POWER(AB11*V11*W11, 2)-POWER(U25, 2))</f>
        <v>1715.9994806518453</v>
      </c>
      <c r="W13" s="101">
        <f>N71-V13</f>
        <v>6563.0985696612688</v>
      </c>
      <c r="X13" s="101"/>
      <c r="Y13" s="101"/>
      <c r="Z13" s="99"/>
      <c r="AA13" s="99"/>
      <c r="AB13" s="99"/>
      <c r="AC13" s="99"/>
    </row>
    <row r="14" spans="1:29" ht="18.75" x14ac:dyDescent="0.3">
      <c r="A14" s="84" t="s">
        <v>124</v>
      </c>
      <c r="B14" s="108"/>
      <c r="C14" s="86"/>
      <c r="D14" s="86"/>
      <c r="E14" s="86">
        <f>СВЕТ!L5</f>
        <v>7.1366082704776215</v>
      </c>
      <c r="F14" s="91"/>
      <c r="G14" s="92"/>
      <c r="H14" s="92"/>
      <c r="I14" s="86">
        <f>M14</f>
        <v>6.4943135261346345</v>
      </c>
      <c r="J14" s="86">
        <f>N14</f>
        <v>3.1453395964544621</v>
      </c>
      <c r="K14" s="109"/>
      <c r="L14" s="85"/>
      <c r="M14" s="86">
        <f>СВЕТ!M5</f>
        <v>6.4943135261346345</v>
      </c>
      <c r="N14" s="86">
        <f>СВЕТ!N5</f>
        <v>3.1453395964544621</v>
      </c>
      <c r="O14" s="86">
        <f>SQRT(POWER(M14, 2)+POWER(N14, 2))</f>
        <v>7.2159039179273714</v>
      </c>
      <c r="P14" s="89"/>
      <c r="S14" s="99"/>
      <c r="U14" s="99"/>
      <c r="V14" s="99"/>
      <c r="W14" s="101"/>
      <c r="X14" s="101"/>
      <c r="Y14" s="101"/>
      <c r="Z14" s="99"/>
      <c r="AA14" s="99"/>
      <c r="AB14" s="99"/>
      <c r="AC14" s="99"/>
    </row>
    <row r="15" spans="1:29" ht="18.75" x14ac:dyDescent="0.3">
      <c r="A15" s="84" t="s">
        <v>136</v>
      </c>
      <c r="B15" s="94">
        <f>SUM(B13:B14)</f>
        <v>160</v>
      </c>
      <c r="C15" s="94">
        <f>C13</f>
        <v>3</v>
      </c>
      <c r="D15" s="94">
        <f>D13</f>
        <v>65</v>
      </c>
      <c r="E15" s="95">
        <f>SUM(E13:E14)</f>
        <v>3007.1366082704776</v>
      </c>
      <c r="F15" s="96">
        <f>I15/E15</f>
        <v>0.40121034415527829</v>
      </c>
      <c r="G15" s="96">
        <f>COS(ATAN(H15))</f>
        <v>0.78065173440191438</v>
      </c>
      <c r="H15" s="96">
        <f>J15/I15</f>
        <v>0.80056991768576635</v>
      </c>
      <c r="I15" s="96">
        <f>SUM(I13:I14)</f>
        <v>1206.4943135261346</v>
      </c>
      <c r="J15" s="96">
        <f>SUM(J13:J14)</f>
        <v>965.88305326796285</v>
      </c>
      <c r="K15" s="97">
        <v>92</v>
      </c>
      <c r="L15" s="94">
        <v>0.7</v>
      </c>
      <c r="M15" s="95">
        <f>SUM(M13:M14)</f>
        <v>846.49431352613465</v>
      </c>
      <c r="N15" s="96">
        <f>SUM(N13:N14)</f>
        <v>965.88305326796285</v>
      </c>
      <c r="O15" s="96">
        <f>SQRT(POWER(M15, 2)+POWER(N15, 2))</f>
        <v>1284.3218815477389</v>
      </c>
      <c r="P15" s="98">
        <f>O15/(1.73*0.38)</f>
        <v>1953.6383960263752</v>
      </c>
      <c r="S15" s="99" t="s">
        <v>137</v>
      </c>
      <c r="T15" s="75" t="s">
        <v>138</v>
      </c>
      <c r="U15" s="99" t="s">
        <v>139</v>
      </c>
      <c r="V15" s="99" t="s">
        <v>140</v>
      </c>
      <c r="W15" s="101"/>
      <c r="X15" s="75" t="s">
        <v>141</v>
      </c>
      <c r="Y15" s="101" t="s">
        <v>142</v>
      </c>
      <c r="Z15" s="99"/>
      <c r="AA15" s="99"/>
      <c r="AB15" s="99"/>
      <c r="AC15" s="99"/>
    </row>
    <row r="16" spans="1:29" ht="18.75" x14ac:dyDescent="0.3">
      <c r="A16" s="547" t="s">
        <v>143</v>
      </c>
      <c r="B16" s="548"/>
      <c r="C16" s="548"/>
      <c r="D16" s="548"/>
      <c r="E16" s="548"/>
      <c r="F16" s="548"/>
      <c r="G16" s="548"/>
      <c r="H16" s="548"/>
      <c r="I16" s="548"/>
      <c r="J16" s="548"/>
      <c r="K16" s="548"/>
      <c r="L16" s="548"/>
      <c r="M16" s="548"/>
      <c r="N16" s="548"/>
      <c r="O16" s="549"/>
      <c r="S16" s="99"/>
      <c r="T16" s="75">
        <v>19</v>
      </c>
      <c r="U16" s="99">
        <v>7</v>
      </c>
      <c r="V16" s="99">
        <v>0.17</v>
      </c>
      <c r="W16" s="101">
        <f>V16*AB11*W11</f>
        <v>1901.0882510187585</v>
      </c>
      <c r="X16" s="101">
        <f>N71-W13-W16</f>
        <v>-185.0887703669132</v>
      </c>
      <c r="Y16" s="102">
        <f>W13+X16</f>
        <v>6378.0097992943556</v>
      </c>
      <c r="Z16" s="99" t="s">
        <v>144</v>
      </c>
      <c r="AA16" s="99"/>
      <c r="AB16" s="99"/>
      <c r="AC16" s="99"/>
    </row>
    <row r="17" spans="1:29" ht="18.75" x14ac:dyDescent="0.3">
      <c r="A17" s="84" t="s">
        <v>145</v>
      </c>
      <c r="B17" s="105">
        <v>145</v>
      </c>
      <c r="C17" s="105">
        <v>2</v>
      </c>
      <c r="D17" s="105">
        <v>75</v>
      </c>
      <c r="E17" s="105">
        <v>3500</v>
      </c>
      <c r="F17" s="106">
        <v>0.37</v>
      </c>
      <c r="G17" s="106">
        <v>0.7</v>
      </c>
      <c r="H17" s="87">
        <f>TAN(ACOS(G17))</f>
        <v>1.0202040612204071</v>
      </c>
      <c r="I17" s="87">
        <f>E17*F17</f>
        <v>1295</v>
      </c>
      <c r="J17" s="87">
        <f>I17*H17</f>
        <v>1321.1642592804271</v>
      </c>
      <c r="K17" s="93">
        <f>2*E17/D17</f>
        <v>93.333333333333329</v>
      </c>
      <c r="L17" s="91">
        <v>0.75</v>
      </c>
      <c r="M17" s="85">
        <f>I17*L17</f>
        <v>971.25</v>
      </c>
      <c r="N17" s="87">
        <f>J17</f>
        <v>1321.1642592804271</v>
      </c>
      <c r="O17" s="87">
        <f>SQRT(POWER(M17, 2)+POWER(N17, 2))</f>
        <v>1639.7565558643148</v>
      </c>
      <c r="P17" s="89"/>
      <c r="S17" s="99"/>
      <c r="U17" s="99"/>
      <c r="V17" s="99"/>
      <c r="W17" s="101">
        <f>W16/AB11</f>
        <v>272</v>
      </c>
      <c r="X17" s="101">
        <f>Y16/AB11</f>
        <v>912.53978581920489</v>
      </c>
      <c r="Y17" s="101">
        <v>6400</v>
      </c>
      <c r="Z17" s="110">
        <v>300</v>
      </c>
      <c r="AA17" s="99"/>
      <c r="AB17" s="99"/>
      <c r="AC17" s="99"/>
    </row>
    <row r="18" spans="1:29" ht="18.75" x14ac:dyDescent="0.3">
      <c r="A18" s="84" t="s">
        <v>124</v>
      </c>
      <c r="B18" s="85"/>
      <c r="C18" s="85"/>
      <c r="D18" s="85"/>
      <c r="E18" s="86">
        <f>СВЕТ!L6</f>
        <v>6.9498382026627201</v>
      </c>
      <c r="F18" s="85"/>
      <c r="G18" s="87"/>
      <c r="H18" s="85"/>
      <c r="I18" s="86">
        <f>M18</f>
        <v>6.3243527644230753</v>
      </c>
      <c r="J18" s="86">
        <f>N18</f>
        <v>3.0630238426024752</v>
      </c>
      <c r="K18" s="93"/>
      <c r="L18" s="91"/>
      <c r="M18" s="86">
        <f>СВЕТ!M6</f>
        <v>6.3243527644230753</v>
      </c>
      <c r="N18" s="86">
        <f>СВЕТ!N6</f>
        <v>3.0630238426024752</v>
      </c>
      <c r="O18" s="86">
        <f>SQRT(POWER(M18, 2)+POWER(N18, 2))</f>
        <v>7.0270586271367499</v>
      </c>
      <c r="P18" s="89"/>
      <c r="U18" s="99"/>
      <c r="V18" s="99"/>
      <c r="W18" s="101">
        <f>150*9</f>
        <v>1350</v>
      </c>
      <c r="X18" s="101">
        <f>Y16*'Ф-202-90-0,4'!D11/N71</f>
        <v>1880.5060962011196</v>
      </c>
      <c r="Y18" s="101"/>
      <c r="Z18" s="99"/>
      <c r="AA18" s="99"/>
      <c r="AB18" s="99"/>
      <c r="AC18" s="99"/>
    </row>
    <row r="19" spans="1:29" ht="18.75" x14ac:dyDescent="0.3">
      <c r="A19" s="84" t="s">
        <v>136</v>
      </c>
      <c r="B19" s="94">
        <f>SUM(B17:B18)</f>
        <v>145</v>
      </c>
      <c r="C19" s="111" t="s">
        <v>146</v>
      </c>
      <c r="D19" s="111" t="s">
        <v>147</v>
      </c>
      <c r="E19" s="95">
        <f>SUM(E17:E18)</f>
        <v>3506.9498382026627</v>
      </c>
      <c r="F19" s="96">
        <f>I19/E19</f>
        <v>0.37107013581675902</v>
      </c>
      <c r="G19" s="96">
        <f>COS(ATAN(H19))</f>
        <v>0.700911956661463</v>
      </c>
      <c r="H19" s="94">
        <f>J19/I19</f>
        <v>1.0175997093345355</v>
      </c>
      <c r="I19" s="96">
        <f>SUM(I17:I18)</f>
        <v>1301.3243527644231</v>
      </c>
      <c r="J19" s="96">
        <f>SUM(J17:J18)</f>
        <v>1324.2272831230296</v>
      </c>
      <c r="K19" s="97"/>
      <c r="L19" s="94"/>
      <c r="M19" s="95">
        <f>SUM(M17:M18)</f>
        <v>977.57435276442311</v>
      </c>
      <c r="N19" s="96">
        <f>SUM(N17:N18)</f>
        <v>1324.2272831230296</v>
      </c>
      <c r="O19" s="96">
        <f>SQRT(POWER(M19, 2)+POWER(N19, 2))</f>
        <v>1645.9737277824884</v>
      </c>
      <c r="P19" s="98">
        <f>O19/(1.73*0.38)</f>
        <v>2503.7628959271196</v>
      </c>
      <c r="U19" s="99"/>
      <c r="V19" s="99"/>
      <c r="W19" s="101"/>
      <c r="X19" s="101" t="e">
        <f>Y16*#REF!/N71</f>
        <v>#REF!</v>
      </c>
      <c r="Y19" s="101"/>
      <c r="Z19" s="99"/>
      <c r="AA19" s="99"/>
      <c r="AB19" s="99"/>
      <c r="AC19" s="99"/>
    </row>
    <row r="20" spans="1:29" ht="18.75" x14ac:dyDescent="0.3">
      <c r="A20" s="519" t="s">
        <v>148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1"/>
      <c r="X20" s="101" t="e">
        <f>Y16*#REF!/N71</f>
        <v>#REF!</v>
      </c>
    </row>
    <row r="21" spans="1:29" ht="15.75" x14ac:dyDescent="0.25">
      <c r="A21" s="84" t="s">
        <v>145</v>
      </c>
      <c r="B21" s="105">
        <v>18</v>
      </c>
      <c r="C21" s="105">
        <v>1</v>
      </c>
      <c r="D21" s="105">
        <v>16</v>
      </c>
      <c r="E21" s="105">
        <v>150</v>
      </c>
      <c r="F21" s="85">
        <v>0.65</v>
      </c>
      <c r="G21" s="87">
        <v>0.8</v>
      </c>
      <c r="H21" s="87">
        <f>TAN(ACOS(G21))</f>
        <v>0.74999999999999978</v>
      </c>
      <c r="I21" s="87">
        <f>E21*F21</f>
        <v>97.5</v>
      </c>
      <c r="J21" s="87">
        <f>I21*H21</f>
        <v>73.124999999999972</v>
      </c>
      <c r="K21" s="88">
        <f>2*E21/D21</f>
        <v>18.75</v>
      </c>
      <c r="L21" s="85">
        <v>0.9</v>
      </c>
      <c r="M21" s="85">
        <f>I21*L21</f>
        <v>87.75</v>
      </c>
      <c r="N21" s="87">
        <f>J21</f>
        <v>73.124999999999972</v>
      </c>
      <c r="O21" s="87">
        <f>SQRT(POWER(M21, 2)+POWER(N21, 2))</f>
        <v>114.2249015101348</v>
      </c>
      <c r="P21" s="89"/>
    </row>
    <row r="22" spans="1:29" ht="15.75" x14ac:dyDescent="0.25">
      <c r="A22" s="84" t="s">
        <v>149</v>
      </c>
      <c r="B22" s="91"/>
      <c r="C22" s="91"/>
      <c r="D22" s="91"/>
      <c r="E22" s="87">
        <f>СВЕТ!L7</f>
        <v>2.9982153480071392</v>
      </c>
      <c r="F22" s="85"/>
      <c r="G22" s="87"/>
      <c r="H22" s="85"/>
      <c r="I22" s="86">
        <f>M22</f>
        <v>2.4735276621058899</v>
      </c>
      <c r="J22" s="86">
        <f>N22</f>
        <v>1.1979841236857771</v>
      </c>
      <c r="K22" s="88"/>
      <c r="L22" s="85"/>
      <c r="M22" s="86">
        <f>СВЕТ!M7</f>
        <v>2.4735276621058899</v>
      </c>
      <c r="N22" s="86">
        <f>СВЕТ!N7</f>
        <v>1.1979841236857771</v>
      </c>
      <c r="O22" s="86">
        <f>SQRT(POWER(M22, 2)+POWER(N22, 2))</f>
        <v>2.7483640690065441</v>
      </c>
      <c r="P22" s="89"/>
    </row>
    <row r="23" spans="1:29" ht="18.75" x14ac:dyDescent="0.25">
      <c r="A23" s="529" t="s">
        <v>150</v>
      </c>
      <c r="B23" s="530"/>
      <c r="C23" s="530"/>
      <c r="D23" s="530"/>
      <c r="E23" s="530"/>
      <c r="F23" s="530"/>
      <c r="G23" s="530"/>
      <c r="H23" s="530"/>
      <c r="I23" s="530"/>
      <c r="J23" s="530"/>
      <c r="K23" s="530"/>
      <c r="L23" s="530"/>
      <c r="M23" s="530"/>
      <c r="N23" s="530"/>
      <c r="O23" s="531"/>
      <c r="P23" s="89"/>
    </row>
    <row r="24" spans="1:29" ht="15.75" x14ac:dyDescent="0.25">
      <c r="A24" s="84" t="s">
        <v>136</v>
      </c>
      <c r="B24" s="94">
        <f>SUM(B21)</f>
        <v>18</v>
      </c>
      <c r="C24" s="94">
        <f>C21</f>
        <v>1</v>
      </c>
      <c r="D24" s="94">
        <f>D21</f>
        <v>16</v>
      </c>
      <c r="E24" s="96">
        <f>SUM(E21:E22)</f>
        <v>152.99821534800714</v>
      </c>
      <c r="F24" s="96">
        <f>I24/E24</f>
        <v>0.65342937128193168</v>
      </c>
      <c r="G24" s="96">
        <f>COS(ATAN(H24))</f>
        <v>0.80252501162725121</v>
      </c>
      <c r="H24" s="96">
        <f>J24/I24</f>
        <v>0.74342664364995925</v>
      </c>
      <c r="I24" s="96">
        <f>SUM(I21:I22)</f>
        <v>99.973527662105894</v>
      </c>
      <c r="J24" s="96">
        <f>SUM(J21:J22)</f>
        <v>74.322984123685742</v>
      </c>
      <c r="K24" s="97"/>
      <c r="L24" s="94"/>
      <c r="M24" s="95">
        <f>SUM(M21:M23)</f>
        <v>90.223527662105894</v>
      </c>
      <c r="N24" s="96">
        <f>SUM(N21:N23)</f>
        <v>74.322984123685742</v>
      </c>
      <c r="O24" s="96">
        <f>SQRT(POWER(M24, 2)+POWER(N24, 2))</f>
        <v>116.89393017964804</v>
      </c>
      <c r="P24" s="98">
        <f>O24/(1.73*0.38)</f>
        <v>177.81248886469126</v>
      </c>
      <c r="S24" s="112" t="s">
        <v>151</v>
      </c>
      <c r="T24" s="112" t="s">
        <v>138</v>
      </c>
      <c r="U24" s="112" t="s">
        <v>152</v>
      </c>
      <c r="V24" s="112" t="s">
        <v>134</v>
      </c>
      <c r="W24" s="75" t="s">
        <v>153</v>
      </c>
    </row>
    <row r="25" spans="1:29" ht="18.75" x14ac:dyDescent="0.25">
      <c r="A25" s="519" t="s">
        <v>154</v>
      </c>
      <c r="B25" s="520"/>
      <c r="C25" s="520"/>
      <c r="D25" s="520"/>
      <c r="E25" s="520"/>
      <c r="F25" s="520"/>
      <c r="G25" s="520"/>
      <c r="H25" s="520"/>
      <c r="I25" s="520"/>
      <c r="J25" s="520"/>
      <c r="K25" s="520"/>
      <c r="L25" s="520"/>
      <c r="M25" s="520"/>
      <c r="N25" s="520"/>
      <c r="O25" s="521"/>
      <c r="S25" s="112">
        <v>0.7</v>
      </c>
      <c r="T25" s="112">
        <v>19</v>
      </c>
      <c r="U25" s="113">
        <f>M71</f>
        <v>7637.6104453713579</v>
      </c>
      <c r="V25" s="112"/>
      <c r="W25" s="114">
        <f>SQRT(POWER(AB11*S25*W27, 2)-POWER(U25, 2))</f>
        <v>1715.9994806518453</v>
      </c>
    </row>
    <row r="26" spans="1:29" ht="15.75" x14ac:dyDescent="0.25">
      <c r="A26" s="84" t="s">
        <v>123</v>
      </c>
      <c r="B26" s="105">
        <v>35</v>
      </c>
      <c r="C26" s="105">
        <v>2</v>
      </c>
      <c r="D26" s="105">
        <v>8</v>
      </c>
      <c r="E26" s="105">
        <v>800</v>
      </c>
      <c r="F26" s="106">
        <v>0.45</v>
      </c>
      <c r="G26" s="106">
        <v>0.8</v>
      </c>
      <c r="H26" s="87">
        <f>TAN(ACOS(G26))</f>
        <v>0.74999999999999978</v>
      </c>
      <c r="I26" s="87">
        <f>E26*F26</f>
        <v>360</v>
      </c>
      <c r="J26" s="87">
        <f>I26*H26</f>
        <v>269.99999999999994</v>
      </c>
      <c r="K26" s="88">
        <f>2*E26/D26</f>
        <v>200</v>
      </c>
      <c r="L26" s="85">
        <v>0.8</v>
      </c>
      <c r="M26" s="85">
        <f>I26*L26</f>
        <v>288</v>
      </c>
      <c r="N26" s="87">
        <f>J26</f>
        <v>269.99999999999994</v>
      </c>
      <c r="O26" s="87">
        <f>SQRT(POWER(M26, 2)+POWER(N26, 2))</f>
        <v>394.77081959030352</v>
      </c>
      <c r="P26" s="89"/>
      <c r="S26" s="112" t="s">
        <v>155</v>
      </c>
      <c r="T26" s="112" t="s">
        <v>139</v>
      </c>
      <c r="U26" s="112" t="s">
        <v>156</v>
      </c>
      <c r="V26" s="112" t="s">
        <v>141</v>
      </c>
      <c r="W26" s="75" t="s">
        <v>157</v>
      </c>
    </row>
    <row r="27" spans="1:29" ht="15.75" x14ac:dyDescent="0.25">
      <c r="A27" s="84" t="s">
        <v>158</v>
      </c>
      <c r="B27" s="85"/>
      <c r="C27" s="85"/>
      <c r="D27" s="85"/>
      <c r="E27" s="87">
        <f>СВЕТ!L8</f>
        <v>3.5549999999999993</v>
      </c>
      <c r="F27" s="85"/>
      <c r="G27" s="87"/>
      <c r="H27" s="85"/>
      <c r="I27" s="86">
        <f>M27</f>
        <v>3.1994999999999996</v>
      </c>
      <c r="J27" s="86">
        <f>N27</f>
        <v>1.549588574428709</v>
      </c>
      <c r="K27" s="88"/>
      <c r="L27" s="85"/>
      <c r="M27" s="87">
        <f>СВЕТ!M8</f>
        <v>3.1994999999999996</v>
      </c>
      <c r="N27" s="87">
        <f>СВЕТ!N8</f>
        <v>1.549588574428709</v>
      </c>
      <c r="O27" s="86">
        <f>SQRT(POWER(M27, 2)+POWER(N27, 2))</f>
        <v>3.5549999999999993</v>
      </c>
      <c r="P27" s="89"/>
      <c r="S27" s="112" t="s">
        <v>159</v>
      </c>
      <c r="T27" s="112">
        <v>7</v>
      </c>
      <c r="U27" s="112">
        <v>0.17</v>
      </c>
      <c r="V27" s="112"/>
      <c r="W27" s="75">
        <v>1600</v>
      </c>
    </row>
    <row r="28" spans="1:29" ht="18.75" x14ac:dyDescent="0.25">
      <c r="A28" s="84" t="s">
        <v>136</v>
      </c>
      <c r="B28" s="94">
        <f>SUM(B26:B27)</f>
        <v>35</v>
      </c>
      <c r="C28" s="115">
        <v>2</v>
      </c>
      <c r="D28" s="115">
        <v>8</v>
      </c>
      <c r="E28" s="96">
        <f>SUM(E26:E27)</f>
        <v>803.55499999999995</v>
      </c>
      <c r="F28" s="96">
        <f>I28/E28</f>
        <v>0.45199084070163215</v>
      </c>
      <c r="G28" s="96">
        <f>COS(ATAN(H28))</f>
        <v>0.80089882844835381</v>
      </c>
      <c r="H28" s="96">
        <f>J28/I28</f>
        <v>0.74765958811735322</v>
      </c>
      <c r="I28" s="96">
        <f>SUM(I26:I27)</f>
        <v>363.1995</v>
      </c>
      <c r="J28" s="96">
        <f>SUM(J26:J27)</f>
        <v>271.54958857442864</v>
      </c>
      <c r="K28" s="97"/>
      <c r="L28" s="94"/>
      <c r="M28" s="95">
        <f>SUM(M26:M27)</f>
        <v>291.1995</v>
      </c>
      <c r="N28" s="96">
        <f>SUM(N26:N27)</f>
        <v>271.54958857442864</v>
      </c>
      <c r="O28" s="96">
        <f>SQRT(POWER(M28, 2)+POWER(N28, 2))</f>
        <v>398.16620631991293</v>
      </c>
      <c r="P28" s="98">
        <f>O28/(1.73*0.38)</f>
        <v>605.66809601447051</v>
      </c>
    </row>
    <row r="29" spans="1:29" ht="18.75" customHeight="1" x14ac:dyDescent="0.25">
      <c r="A29" s="519" t="s">
        <v>160</v>
      </c>
      <c r="B29" s="520"/>
      <c r="C29" s="520"/>
      <c r="D29" s="520"/>
      <c r="E29" s="520"/>
      <c r="F29" s="520"/>
      <c r="G29" s="520"/>
      <c r="H29" s="520"/>
      <c r="I29" s="520"/>
      <c r="J29" s="520"/>
      <c r="K29" s="520"/>
      <c r="L29" s="520"/>
      <c r="M29" s="520"/>
      <c r="N29" s="520"/>
      <c r="O29" s="521"/>
    </row>
    <row r="30" spans="1:29" ht="15.75" x14ac:dyDescent="0.25">
      <c r="A30" s="84" t="s">
        <v>123</v>
      </c>
      <c r="B30" s="105">
        <v>80</v>
      </c>
      <c r="C30" s="105">
        <v>1</v>
      </c>
      <c r="D30" s="105">
        <v>65</v>
      </c>
      <c r="E30" s="105">
        <v>1200</v>
      </c>
      <c r="F30" s="106">
        <v>0.5</v>
      </c>
      <c r="G30" s="106">
        <v>0.7</v>
      </c>
      <c r="H30" s="87">
        <f>TAN(ACOS(G30))</f>
        <v>1.0202040612204071</v>
      </c>
      <c r="I30" s="87">
        <f>E30*F30</f>
        <v>600</v>
      </c>
      <c r="J30" s="87">
        <f>I30*H30</f>
        <v>612.1224367322443</v>
      </c>
      <c r="K30" s="88">
        <f>2*E30/D30</f>
        <v>36.92307692307692</v>
      </c>
      <c r="L30" s="85">
        <v>0.7</v>
      </c>
      <c r="M30" s="85">
        <f>I30*L30</f>
        <v>420</v>
      </c>
      <c r="N30" s="87">
        <f>J30</f>
        <v>612.1224367322443</v>
      </c>
      <c r="O30" s="87">
        <f>SQRT(POWER(M30, 2)+POWER(N30, 2))</f>
        <v>742.35697447455857</v>
      </c>
      <c r="P30" s="89"/>
    </row>
    <row r="31" spans="1:29" ht="15.75" x14ac:dyDescent="0.25">
      <c r="A31" s="84" t="s">
        <v>124</v>
      </c>
      <c r="B31" s="85"/>
      <c r="C31" s="85"/>
      <c r="D31" s="85"/>
      <c r="E31" s="87">
        <f>СВЕТ!L9</f>
        <v>4.6684499054820439</v>
      </c>
      <c r="F31" s="85"/>
      <c r="G31" s="87"/>
      <c r="H31" s="85"/>
      <c r="I31" s="86">
        <f>M31</f>
        <v>3.6413909262759945</v>
      </c>
      <c r="J31" s="86">
        <f>N31</f>
        <v>1.7636061179514471</v>
      </c>
      <c r="K31" s="88"/>
      <c r="L31" s="85"/>
      <c r="M31" s="87">
        <f>СВЕТ!M9</f>
        <v>3.6413909262759945</v>
      </c>
      <c r="N31" s="87">
        <f>СВЕТ!N9</f>
        <v>1.7636061179514471</v>
      </c>
      <c r="O31" s="86">
        <f>SQRT(POWER(M31, 2)+POWER(N31, 2))</f>
        <v>4.0459899180844383</v>
      </c>
      <c r="P31" s="89"/>
    </row>
    <row r="32" spans="1:29" ht="18.75" x14ac:dyDescent="0.25">
      <c r="A32" s="84" t="s">
        <v>136</v>
      </c>
      <c r="B32" s="94">
        <f>SUM(B30:B31)</f>
        <v>80</v>
      </c>
      <c r="C32" s="115">
        <v>1</v>
      </c>
      <c r="D32" s="115">
        <v>65</v>
      </c>
      <c r="E32" s="96">
        <f>SUM(E30:E31)</f>
        <v>1204.668449905482</v>
      </c>
      <c r="F32" s="96">
        <f>I32/E32</f>
        <v>0.50108508359593673</v>
      </c>
      <c r="G32" s="96">
        <f>COS(ATAN(H32))</f>
        <v>0.70113214645624</v>
      </c>
      <c r="H32" s="96">
        <f>J32/I32</f>
        <v>1.016971420578366</v>
      </c>
      <c r="I32" s="96">
        <f>SUM(I30:I31)</f>
        <v>603.64139092627602</v>
      </c>
      <c r="J32" s="96">
        <f>SUM(J30:J31)</f>
        <v>613.88604285019574</v>
      </c>
      <c r="K32" s="97"/>
      <c r="L32" s="94"/>
      <c r="M32" s="95">
        <f>SUM(M30:M31)</f>
        <v>423.64139092627602</v>
      </c>
      <c r="N32" s="96">
        <f>SUM(N30:N31)</f>
        <v>613.88604285019574</v>
      </c>
      <c r="O32" s="96">
        <f>SQRT(POWER(M32, 2)+POWER(N32, 2))</f>
        <v>745.87405217786079</v>
      </c>
      <c r="P32" s="98">
        <f>O32/(1.73*0.38)</f>
        <v>1134.5817647974761</v>
      </c>
    </row>
    <row r="33" spans="1:16" ht="22.5" customHeight="1" x14ac:dyDescent="0.25">
      <c r="A33" s="523" t="s">
        <v>161</v>
      </c>
      <c r="B33" s="524"/>
      <c r="C33" s="524"/>
      <c r="D33" s="524"/>
      <c r="E33" s="524"/>
      <c r="F33" s="524"/>
      <c r="G33" s="524"/>
      <c r="H33" s="524"/>
      <c r="I33" s="524"/>
      <c r="J33" s="524"/>
      <c r="K33" s="524"/>
      <c r="L33" s="524"/>
      <c r="M33" s="524"/>
      <c r="N33" s="524"/>
      <c r="O33" s="525"/>
    </row>
    <row r="34" spans="1:16" ht="15.75" x14ac:dyDescent="0.25">
      <c r="A34" s="84" t="s">
        <v>123</v>
      </c>
      <c r="B34" s="105">
        <v>46</v>
      </c>
      <c r="C34" s="105">
        <v>1.5</v>
      </c>
      <c r="D34" s="105">
        <v>40</v>
      </c>
      <c r="E34" s="105">
        <v>2000</v>
      </c>
      <c r="F34" s="106">
        <v>0.38</v>
      </c>
      <c r="G34" s="106">
        <v>0.65</v>
      </c>
      <c r="H34" s="87">
        <f>TAN(ACOS(G34))</f>
        <v>1.1691295502746664</v>
      </c>
      <c r="I34" s="87">
        <f>E34*F34</f>
        <v>760</v>
      </c>
      <c r="J34" s="87">
        <f>I34*H34</f>
        <v>888.53845820874642</v>
      </c>
      <c r="K34" s="88">
        <f>2*E34/D34</f>
        <v>100</v>
      </c>
      <c r="L34" s="85">
        <v>0.75</v>
      </c>
      <c r="M34" s="85">
        <f>I34*L34</f>
        <v>570</v>
      </c>
      <c r="N34" s="87">
        <f>J34</f>
        <v>888.53845820874642</v>
      </c>
      <c r="O34" s="87">
        <f>SQRT(POWER(M34, 2)+POWER(N34, 2))</f>
        <v>1055.6517378927465</v>
      </c>
      <c r="P34" s="89"/>
    </row>
    <row r="35" spans="1:16" ht="15.75" x14ac:dyDescent="0.25">
      <c r="A35" s="84" t="s">
        <v>158</v>
      </c>
      <c r="B35" s="85"/>
      <c r="C35" s="85"/>
      <c r="D35" s="85"/>
      <c r="E35" s="87">
        <f>СВЕТ!L10</f>
        <v>6.4778442583861455</v>
      </c>
      <c r="F35" s="85"/>
      <c r="G35" s="87"/>
      <c r="H35" s="85"/>
      <c r="I35" s="86">
        <f>M35</f>
        <v>2.5263592607705965</v>
      </c>
      <c r="J35" s="86">
        <f>N35</f>
        <v>1.2235716347530166</v>
      </c>
      <c r="K35" s="88"/>
      <c r="L35" s="85"/>
      <c r="M35" s="87">
        <f>СВЕТ!M10</f>
        <v>2.5263592607705965</v>
      </c>
      <c r="N35" s="87">
        <f>СВЕТ!N10</f>
        <v>1.2235716347530166</v>
      </c>
      <c r="O35" s="86">
        <f>SQRT(POWER(M35, 2)+POWER(N35, 2))</f>
        <v>2.8070658453006629</v>
      </c>
      <c r="P35" s="89"/>
    </row>
    <row r="36" spans="1:16" ht="18.75" x14ac:dyDescent="0.25">
      <c r="A36" s="84" t="s">
        <v>136</v>
      </c>
      <c r="B36" s="85">
        <f>SUM(B34:B35)</f>
        <v>46</v>
      </c>
      <c r="C36" s="115">
        <v>1.5</v>
      </c>
      <c r="D36" s="115">
        <v>40</v>
      </c>
      <c r="E36" s="87">
        <f>SUM(E34:E35)</f>
        <v>2006.4778442583861</v>
      </c>
      <c r="F36" s="87">
        <f>I36/E36</f>
        <v>0.38003228465381228</v>
      </c>
      <c r="G36" s="87">
        <f>COS(ATAN(H36))</f>
        <v>0.65072898727202555</v>
      </c>
      <c r="H36" s="87">
        <f>J36/I36</f>
        <v>1.1668606849290786</v>
      </c>
      <c r="I36" s="87">
        <f>SUM(I34:I35)</f>
        <v>762.52635926077062</v>
      </c>
      <c r="J36" s="87">
        <f>SUM(J34:J35)</f>
        <v>889.76202984349948</v>
      </c>
      <c r="K36" s="88"/>
      <c r="L36" s="85"/>
      <c r="M36" s="86">
        <f>SUM(M34:M35)</f>
        <v>572.52635926077062</v>
      </c>
      <c r="N36" s="87">
        <f>SUM(N34:N35)</f>
        <v>889.76202984349948</v>
      </c>
      <c r="O36" s="87">
        <f>SQRT(POWER(M36, 2)+POWER(N36, 2))</f>
        <v>1058.0467389485293</v>
      </c>
      <c r="P36" s="98">
        <f>O36/(1.73*0.38)</f>
        <v>1609.4413430917696</v>
      </c>
    </row>
    <row r="37" spans="1:16" ht="18.75" x14ac:dyDescent="0.25">
      <c r="A37" s="519" t="s">
        <v>162</v>
      </c>
      <c r="B37" s="520"/>
      <c r="C37" s="520"/>
      <c r="D37" s="520"/>
      <c r="E37" s="520"/>
      <c r="F37" s="520"/>
      <c r="G37" s="520"/>
      <c r="H37" s="520"/>
      <c r="I37" s="520"/>
      <c r="J37" s="520"/>
      <c r="K37" s="520"/>
      <c r="L37" s="520"/>
      <c r="M37" s="520"/>
      <c r="N37" s="520"/>
      <c r="O37" s="521"/>
    </row>
    <row r="38" spans="1:16" ht="15.75" x14ac:dyDescent="0.25">
      <c r="A38" s="84" t="s">
        <v>123</v>
      </c>
      <c r="B38" s="105">
        <v>180</v>
      </c>
      <c r="C38" s="105">
        <v>4</v>
      </c>
      <c r="D38" s="105">
        <v>150</v>
      </c>
      <c r="E38" s="105">
        <v>1200</v>
      </c>
      <c r="F38" s="106">
        <v>0.52</v>
      </c>
      <c r="G38" s="106">
        <v>0.65</v>
      </c>
      <c r="H38" s="87">
        <f>TAN(ACOS(G38))</f>
        <v>1.1691295502746664</v>
      </c>
      <c r="I38" s="87">
        <f>E38*F38</f>
        <v>624</v>
      </c>
      <c r="J38" s="87">
        <f>I38*H38</f>
        <v>729.53683937139181</v>
      </c>
      <c r="K38" s="88">
        <f>2*E38/D38</f>
        <v>16</v>
      </c>
      <c r="L38" s="85">
        <v>0.7</v>
      </c>
      <c r="M38" s="85">
        <f>I38*L38</f>
        <v>436.79999999999995</v>
      </c>
      <c r="N38" s="87">
        <f>J38</f>
        <v>729.53683937139181</v>
      </c>
      <c r="O38" s="87">
        <f>SQRT(POWER(M38, 2)+POWER(N38, 2))</f>
        <v>850.30479241269711</v>
      </c>
      <c r="P38" s="89"/>
    </row>
    <row r="39" spans="1:16" ht="15.75" x14ac:dyDescent="0.25">
      <c r="A39" s="84" t="s">
        <v>158</v>
      </c>
      <c r="B39" s="85"/>
      <c r="C39" s="85"/>
      <c r="D39" s="85"/>
      <c r="E39" s="87">
        <f>СВЕТ!L11</f>
        <v>3.5199999999999996</v>
      </c>
      <c r="F39" s="85"/>
      <c r="G39" s="87"/>
      <c r="H39" s="85"/>
      <c r="I39" s="86">
        <f>M39</f>
        <v>3.2911999999999999</v>
      </c>
      <c r="J39" s="86">
        <f>N39</f>
        <v>1.5940009114423401</v>
      </c>
      <c r="K39" s="88"/>
      <c r="L39" s="85"/>
      <c r="M39" s="87">
        <f>СВЕТ!M11</f>
        <v>3.2911999999999999</v>
      </c>
      <c r="N39" s="87">
        <f>СВЕТ!N11</f>
        <v>1.5940009114423401</v>
      </c>
      <c r="O39" s="86">
        <f>SQRT(POWER(M39, 2)+POWER(N39, 2))</f>
        <v>3.6568888888888886</v>
      </c>
      <c r="P39" s="89"/>
    </row>
    <row r="40" spans="1:16" ht="18.75" x14ac:dyDescent="0.25">
      <c r="A40" s="84" t="s">
        <v>136</v>
      </c>
      <c r="B40" s="85">
        <f>SUM(B38:B39)</f>
        <v>180</v>
      </c>
      <c r="C40" s="115">
        <v>4</v>
      </c>
      <c r="D40" s="115">
        <v>150</v>
      </c>
      <c r="E40" s="87">
        <f>SUM(E38:E39)</f>
        <v>1203.52</v>
      </c>
      <c r="F40" s="87">
        <f>I40/E40</f>
        <v>0.52121377293273063</v>
      </c>
      <c r="G40" s="87">
        <f>COS(ATAN(H40))</f>
        <v>0.65115490077910609</v>
      </c>
      <c r="H40" s="87">
        <f>J40/I40</f>
        <v>1.1655365805910143</v>
      </c>
      <c r="I40" s="87">
        <f>SUM(I38:I39)</f>
        <v>627.2912</v>
      </c>
      <c r="J40" s="87">
        <f>SUM(J38:J39)</f>
        <v>731.13084028283413</v>
      </c>
      <c r="K40" s="88"/>
      <c r="L40" s="85"/>
      <c r="M40" s="86">
        <f>SUM(M38:M39)</f>
        <v>440.09119999999996</v>
      </c>
      <c r="N40" s="87">
        <f>SUM(N38:N39)</f>
        <v>731.13084028283413</v>
      </c>
      <c r="O40" s="87">
        <f>SQRT(POWER(M40, 2)+POWER(N40, 2))</f>
        <v>853.36543750618534</v>
      </c>
      <c r="P40" s="98">
        <f>O40/(1.73*0.38)</f>
        <v>1298.0916299150979</v>
      </c>
    </row>
    <row r="41" spans="1:16" ht="18.75" x14ac:dyDescent="0.25">
      <c r="A41" s="519" t="s">
        <v>163</v>
      </c>
      <c r="B41" s="520"/>
      <c r="C41" s="520"/>
      <c r="D41" s="520"/>
      <c r="E41" s="520"/>
      <c r="F41" s="520"/>
      <c r="G41" s="520"/>
      <c r="H41" s="520"/>
      <c r="I41" s="520"/>
      <c r="J41" s="520"/>
      <c r="K41" s="520"/>
      <c r="L41" s="520"/>
      <c r="M41" s="520"/>
      <c r="N41" s="520"/>
      <c r="O41" s="521"/>
    </row>
    <row r="42" spans="1:16" ht="15.75" x14ac:dyDescent="0.25">
      <c r="A42" s="84" t="s">
        <v>145</v>
      </c>
      <c r="B42" s="105">
        <v>60</v>
      </c>
      <c r="C42" s="105">
        <v>7</v>
      </c>
      <c r="D42" s="105">
        <v>48</v>
      </c>
      <c r="E42" s="105">
        <v>860</v>
      </c>
      <c r="F42" s="106">
        <v>0.6</v>
      </c>
      <c r="G42" s="106">
        <v>0.8</v>
      </c>
      <c r="H42" s="87">
        <f>TAN(ACOS(G42))</f>
        <v>0.74999999999999978</v>
      </c>
      <c r="I42" s="87">
        <f>E42*F42</f>
        <v>516</v>
      </c>
      <c r="J42" s="87">
        <f>I42*H42</f>
        <v>386.99999999999989</v>
      </c>
      <c r="K42" s="88">
        <f>2*E42/D42</f>
        <v>35.833333333333336</v>
      </c>
      <c r="L42" s="85">
        <v>0.8</v>
      </c>
      <c r="M42" s="85">
        <f>I42*L42</f>
        <v>412.8</v>
      </c>
      <c r="N42" s="87">
        <f>J42</f>
        <v>386.99999999999989</v>
      </c>
      <c r="O42" s="87">
        <f>SQRT(POWER(M42, 2)+POWER(N42, 2))</f>
        <v>565.83817474610169</v>
      </c>
      <c r="P42" s="89"/>
    </row>
    <row r="43" spans="1:16" ht="15.75" x14ac:dyDescent="0.25">
      <c r="A43" s="84" t="s">
        <v>158</v>
      </c>
      <c r="B43" s="91"/>
      <c r="C43" s="85"/>
      <c r="D43" s="85"/>
      <c r="E43" s="87">
        <f>СВЕТ!L12</f>
        <v>2.6402840236686393</v>
      </c>
      <c r="F43" s="85"/>
      <c r="G43" s="87"/>
      <c r="H43" s="85"/>
      <c r="I43" s="86">
        <f>M43</f>
        <v>1.0297107692307694</v>
      </c>
      <c r="J43" s="86">
        <f>N43</f>
        <v>0.49871168712805047</v>
      </c>
      <c r="K43" s="88"/>
      <c r="L43" s="85"/>
      <c r="M43" s="87">
        <f>СВЕТ!M12</f>
        <v>1.0297107692307694</v>
      </c>
      <c r="N43" s="87">
        <f>СВЕТ!N12</f>
        <v>0.49871168712805047</v>
      </c>
      <c r="O43" s="86">
        <f>SQRT(POWER(M43, 2)+POWER(N43, 2))</f>
        <v>1.144123076923077</v>
      </c>
      <c r="P43" s="89"/>
    </row>
    <row r="44" spans="1:16" ht="18.75" x14ac:dyDescent="0.25">
      <c r="A44" s="84" t="s">
        <v>132</v>
      </c>
      <c r="B44" s="91">
        <f>SUM(B41:B43)</f>
        <v>60</v>
      </c>
      <c r="C44" s="115">
        <v>7</v>
      </c>
      <c r="D44" s="115">
        <v>48</v>
      </c>
      <c r="E44" s="87">
        <f>SUM(E41:E43)</f>
        <v>862.64028402366864</v>
      </c>
      <c r="F44" s="87">
        <f>I44/E44</f>
        <v>0.59935725277935759</v>
      </c>
      <c r="G44" s="87">
        <f>COS(ATAN(H44))</f>
        <v>0.80020318825924996</v>
      </c>
      <c r="H44" s="87">
        <f>J44/I44</f>
        <v>0.74947087878298502</v>
      </c>
      <c r="I44" s="87">
        <f>SUM(I41:I43)</f>
        <v>517.02971076923075</v>
      </c>
      <c r="J44" s="87">
        <f>SUM(J41:J43)</f>
        <v>387.49871168712792</v>
      </c>
      <c r="K44" s="88"/>
      <c r="L44" s="85"/>
      <c r="M44" s="86">
        <f>SUM(M42:M43)</f>
        <v>413.82971076923076</v>
      </c>
      <c r="N44" s="87">
        <f>SUM(N42:N43)</f>
        <v>387.49871168712792</v>
      </c>
      <c r="O44" s="87">
        <f>SQRT(POWER(M44, 2)+POWER(N44, 2))</f>
        <v>566.93057870830103</v>
      </c>
      <c r="P44" s="98">
        <f>O44/(1.73*0.38)</f>
        <v>862.38299164633565</v>
      </c>
    </row>
    <row r="45" spans="1:16" ht="18.75" customHeight="1" x14ac:dyDescent="0.25">
      <c r="A45" s="519" t="s">
        <v>164</v>
      </c>
      <c r="B45" s="520"/>
      <c r="C45" s="520"/>
      <c r="D45" s="520"/>
      <c r="E45" s="520"/>
      <c r="F45" s="520"/>
      <c r="G45" s="520"/>
      <c r="H45" s="520"/>
      <c r="I45" s="520"/>
      <c r="J45" s="520"/>
      <c r="K45" s="520"/>
      <c r="L45" s="520"/>
      <c r="M45" s="520"/>
      <c r="N45" s="520"/>
      <c r="O45" s="521"/>
    </row>
    <row r="46" spans="1:16" ht="15.75" x14ac:dyDescent="0.25">
      <c r="A46" s="84" t="s">
        <v>123</v>
      </c>
      <c r="B46" s="105">
        <v>84</v>
      </c>
      <c r="C46" s="105">
        <v>10</v>
      </c>
      <c r="D46" s="105">
        <v>60</v>
      </c>
      <c r="E46" s="105">
        <v>1800</v>
      </c>
      <c r="F46" s="106">
        <v>0.6</v>
      </c>
      <c r="G46" s="106">
        <v>0.8</v>
      </c>
      <c r="H46" s="87">
        <f>TAN(ACOS(G46))</f>
        <v>0.74999999999999978</v>
      </c>
      <c r="I46" s="87">
        <f>E46*F46</f>
        <v>1080</v>
      </c>
      <c r="J46" s="87">
        <f>I46*H46</f>
        <v>809.99999999999977</v>
      </c>
      <c r="K46" s="88">
        <f>2*E46/D46</f>
        <v>60</v>
      </c>
      <c r="L46" s="85">
        <v>0.8</v>
      </c>
      <c r="M46" s="85">
        <f>I46*L46</f>
        <v>864</v>
      </c>
      <c r="N46" s="87">
        <f>J46</f>
        <v>809.99999999999977</v>
      </c>
      <c r="O46" s="87">
        <f>SQRT(POWER(M46, 2)+POWER(N46, 2))</f>
        <v>1184.3124587709106</v>
      </c>
      <c r="P46" s="89"/>
    </row>
    <row r="47" spans="1:16" ht="15.75" x14ac:dyDescent="0.25">
      <c r="A47" s="84" t="s">
        <v>158</v>
      </c>
      <c r="B47" s="85"/>
      <c r="C47" s="85"/>
      <c r="D47" s="85"/>
      <c r="E47" s="87">
        <f>СВЕТ!L13</f>
        <v>2.2127600000000003</v>
      </c>
      <c r="F47" s="85"/>
      <c r="G47" s="87"/>
      <c r="H47" s="85"/>
      <c r="I47" s="86">
        <f>M47</f>
        <v>2.8212690000000005</v>
      </c>
      <c r="J47" s="86">
        <f>N47</f>
        <v>1.3664029403937836</v>
      </c>
      <c r="K47" s="88"/>
      <c r="L47" s="85"/>
      <c r="M47" s="87">
        <f>СВЕТ!M13</f>
        <v>2.8212690000000005</v>
      </c>
      <c r="N47" s="87">
        <f>СВЕТ!N13</f>
        <v>1.3664029403937836</v>
      </c>
      <c r="O47" s="86">
        <f>SQRT(POWER(M47, 2)+POWER(N47, 2))</f>
        <v>3.1347433333333337</v>
      </c>
      <c r="P47" s="89"/>
    </row>
    <row r="48" spans="1:16" ht="18.75" x14ac:dyDescent="0.25">
      <c r="A48" s="84" t="s">
        <v>132</v>
      </c>
      <c r="B48" s="85">
        <f>SUM(B46:B47)</f>
        <v>84</v>
      </c>
      <c r="C48" s="115">
        <v>10</v>
      </c>
      <c r="D48" s="115">
        <v>60</v>
      </c>
      <c r="E48" s="87">
        <f>SUM(E46:E47)</f>
        <v>1802.2127599999999</v>
      </c>
      <c r="F48" s="87">
        <f>I48/E48</f>
        <v>0.60082876618851599</v>
      </c>
      <c r="G48" s="87">
        <f>COS(ATAN(H48))</f>
        <v>0.80026582163115401</v>
      </c>
      <c r="H48" s="87">
        <f>J48/I48</f>
        <v>0.74930778159695854</v>
      </c>
      <c r="I48" s="87">
        <f>SUM(I45:I47)</f>
        <v>1082.821269</v>
      </c>
      <c r="J48" s="87">
        <f>SUM(J45:J47)</f>
        <v>811.36640294039353</v>
      </c>
      <c r="K48" s="88"/>
      <c r="L48" s="85"/>
      <c r="M48" s="86">
        <f>SUM(M46:M47)</f>
        <v>866.82126900000003</v>
      </c>
      <c r="N48" s="87">
        <f>SUM(N46:N47)</f>
        <v>811.36640294039353</v>
      </c>
      <c r="O48" s="87">
        <f>SQRT(POWER(M48, 2)+POWER(N48, 2))</f>
        <v>1187.3055850164285</v>
      </c>
      <c r="P48" s="98">
        <f>O48/(1.73*0.38)</f>
        <v>1806.0626483365204</v>
      </c>
    </row>
    <row r="49" spans="1:18" ht="18.75" x14ac:dyDescent="0.25">
      <c r="A49" s="519" t="s">
        <v>150</v>
      </c>
      <c r="B49" s="520"/>
      <c r="C49" s="520"/>
      <c r="D49" s="520"/>
      <c r="E49" s="520"/>
      <c r="F49" s="520"/>
      <c r="G49" s="520"/>
      <c r="H49" s="520"/>
      <c r="I49" s="520"/>
      <c r="J49" s="520"/>
      <c r="K49" s="520"/>
      <c r="L49" s="520"/>
      <c r="M49" s="520"/>
      <c r="N49" s="520"/>
      <c r="O49" s="521"/>
    </row>
    <row r="50" spans="1:18" ht="18" customHeight="1" x14ac:dyDescent="0.25">
      <c r="A50" s="519" t="s">
        <v>165</v>
      </c>
      <c r="B50" s="520"/>
      <c r="C50" s="520"/>
      <c r="D50" s="520"/>
      <c r="E50" s="520"/>
      <c r="F50" s="520"/>
      <c r="G50" s="520"/>
      <c r="H50" s="520"/>
      <c r="I50" s="520"/>
      <c r="J50" s="520"/>
      <c r="K50" s="520"/>
      <c r="L50" s="520"/>
      <c r="M50" s="520"/>
      <c r="N50" s="520"/>
      <c r="O50" s="521"/>
    </row>
    <row r="51" spans="1:18" ht="15.75" x14ac:dyDescent="0.25">
      <c r="A51" s="84" t="s">
        <v>123</v>
      </c>
      <c r="B51" s="105">
        <v>22</v>
      </c>
      <c r="C51" s="105">
        <v>0.8</v>
      </c>
      <c r="D51" s="105">
        <v>12</v>
      </c>
      <c r="E51" s="105">
        <v>325</v>
      </c>
      <c r="F51" s="106">
        <v>0.2</v>
      </c>
      <c r="G51" s="106">
        <v>0.5</v>
      </c>
      <c r="H51" s="87">
        <f>TAN(ACOS(G51))</f>
        <v>1.7320508075688767</v>
      </c>
      <c r="I51" s="87">
        <f>E51*F51</f>
        <v>65</v>
      </c>
      <c r="J51" s="87">
        <f>I51*H51</f>
        <v>112.58330249197699</v>
      </c>
      <c r="K51" s="88">
        <f>2*E51/D51</f>
        <v>54.166666666666664</v>
      </c>
      <c r="L51" s="85">
        <v>0.75</v>
      </c>
      <c r="M51" s="85">
        <f>I51*L51</f>
        <v>48.75</v>
      </c>
      <c r="N51" s="87">
        <f>J51</f>
        <v>112.58330249197699</v>
      </c>
      <c r="O51" s="87">
        <f>SQRT(POWER(M51, 2)+POWER(N51, 2))</f>
        <v>122.68480957314965</v>
      </c>
      <c r="P51" s="89"/>
    </row>
    <row r="52" spans="1:18" ht="15.75" x14ac:dyDescent="0.25">
      <c r="A52" s="84" t="s">
        <v>158</v>
      </c>
      <c r="B52" s="85"/>
      <c r="C52" s="85"/>
      <c r="D52" s="85"/>
      <c r="E52" s="87">
        <f>СВЕТ!L14</f>
        <v>0.44722222222222224</v>
      </c>
      <c r="F52" s="85"/>
      <c r="G52" s="87"/>
      <c r="H52" s="85"/>
      <c r="I52" s="86">
        <f>M52</f>
        <v>0.3354166666666667</v>
      </c>
      <c r="J52" s="86">
        <f>N52</f>
        <v>0.1624497059976964</v>
      </c>
      <c r="K52" s="88"/>
      <c r="L52" s="85"/>
      <c r="M52" s="87">
        <f>СВЕТ!M14</f>
        <v>0.3354166666666667</v>
      </c>
      <c r="N52" s="87">
        <f>СВЕТ!N14</f>
        <v>0.1624497059976964</v>
      </c>
      <c r="O52" s="86">
        <f>SQRT(POWER(M52, 2)+POWER(N52, 2))</f>
        <v>0.37268518518518517</v>
      </c>
      <c r="P52" s="89"/>
      <c r="R52" s="75">
        <f>O71/СВЕТ!I25</f>
        <v>0.5014222524018852</v>
      </c>
    </row>
    <row r="53" spans="1:18" ht="15.75" x14ac:dyDescent="0.25">
      <c r="A53" s="84" t="s">
        <v>132</v>
      </c>
      <c r="B53" s="94">
        <f>SUM(B51:B52)</f>
        <v>22</v>
      </c>
      <c r="C53" s="90" t="s">
        <v>166</v>
      </c>
      <c r="D53" s="90" t="s">
        <v>167</v>
      </c>
      <c r="E53" s="96">
        <f>SUM(E51:E52)</f>
        <v>325.44722222222219</v>
      </c>
      <c r="F53" s="96">
        <f>I53/E53</f>
        <v>0.20075579757769224</v>
      </c>
      <c r="G53" s="96">
        <f>COS(ATAN(H53))</f>
        <v>0.50139005222626432</v>
      </c>
      <c r="H53" s="96">
        <f>J53/I53</f>
        <v>1.7256452617910099</v>
      </c>
      <c r="I53" s="96">
        <f>SUM(I51:I52)</f>
        <v>65.33541666666666</v>
      </c>
      <c r="J53" s="96">
        <f>SUM(J51:J52)</f>
        <v>112.7457521979747</v>
      </c>
      <c r="K53" s="97"/>
      <c r="L53" s="94"/>
      <c r="M53" s="95">
        <f>SUM(M51:M52)</f>
        <v>49.085416666666667</v>
      </c>
      <c r="N53" s="96">
        <f>SUM(N51:N52)</f>
        <v>112.7457521979747</v>
      </c>
      <c r="O53" s="95">
        <f>SQRT(POWER(M53, 2)+POWER(N53, 2))</f>
        <v>122.96740530737156</v>
      </c>
      <c r="P53" s="98">
        <f>O53/(1.73*0.38)</f>
        <v>187.05111850832304</v>
      </c>
    </row>
    <row r="54" spans="1:18" ht="18.75" x14ac:dyDescent="0.3">
      <c r="A54" s="526" t="s">
        <v>168</v>
      </c>
      <c r="B54" s="527"/>
      <c r="C54" s="527"/>
      <c r="D54" s="527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8"/>
    </row>
    <row r="55" spans="1:18" ht="15.75" x14ac:dyDescent="0.25">
      <c r="A55" s="117" t="s">
        <v>169</v>
      </c>
      <c r="B55" s="112">
        <v>47</v>
      </c>
      <c r="C55" s="112">
        <v>1.5</v>
      </c>
      <c r="D55" s="112">
        <v>24</v>
      </c>
      <c r="E55" s="112">
        <v>418</v>
      </c>
      <c r="F55" s="118">
        <v>0.6</v>
      </c>
      <c r="G55" s="118">
        <v>0.8</v>
      </c>
      <c r="H55" s="87">
        <f>TAN(ACOS(G55))</f>
        <v>0.74999999999999978</v>
      </c>
      <c r="I55" s="87">
        <f>E55*F55</f>
        <v>250.79999999999998</v>
      </c>
      <c r="J55" s="87">
        <f>I55*H55</f>
        <v>188.09999999999994</v>
      </c>
      <c r="K55" s="88">
        <f>2*E55/D55</f>
        <v>34.833333333333336</v>
      </c>
      <c r="L55" s="119">
        <v>0.85</v>
      </c>
      <c r="M55" s="85">
        <f>I55*L55</f>
        <v>213.17999999999998</v>
      </c>
      <c r="N55" s="87">
        <f>J55</f>
        <v>188.09999999999994</v>
      </c>
      <c r="O55" s="87">
        <f>SQRT(POWER(M55, 2)+POWER(N55, 2))</f>
        <v>284.30146394276619</v>
      </c>
      <c r="P55" s="89"/>
    </row>
    <row r="56" spans="1:18" ht="15.75" x14ac:dyDescent="0.25">
      <c r="A56" s="84" t="s">
        <v>158</v>
      </c>
      <c r="B56" s="112"/>
      <c r="C56" s="119"/>
      <c r="D56" s="119"/>
      <c r="E56" s="113">
        <f>СВЕТ!L15</f>
        <v>1.2376033057851239</v>
      </c>
      <c r="F56" s="119"/>
      <c r="G56" s="119"/>
      <c r="H56" s="119"/>
      <c r="I56" s="86">
        <f>M56</f>
        <v>0.92820247933884292</v>
      </c>
      <c r="J56" s="86">
        <f>N56</f>
        <v>0.44954897850910175</v>
      </c>
      <c r="K56" s="119"/>
      <c r="L56" s="119"/>
      <c r="M56" s="87">
        <f>СВЕТ!M15</f>
        <v>0.92820247933884292</v>
      </c>
      <c r="N56" s="87">
        <f>СВЕТ!N15</f>
        <v>0.44954897850910175</v>
      </c>
      <c r="O56" s="86">
        <f>SQRT(POWER(M56, 2)+POWER(N56, 2))</f>
        <v>1.0313360881542699</v>
      </c>
      <c r="P56" s="89"/>
    </row>
    <row r="57" spans="1:18" ht="15.75" x14ac:dyDescent="0.25">
      <c r="A57" s="117" t="s">
        <v>132</v>
      </c>
      <c r="B57" s="112">
        <f>SUM(B55, B56)</f>
        <v>47</v>
      </c>
      <c r="C57" s="112">
        <v>1.5</v>
      </c>
      <c r="D57" s="112">
        <v>24</v>
      </c>
      <c r="E57" s="112">
        <f>SUM(E55, E56)</f>
        <v>419.23760330578511</v>
      </c>
      <c r="F57" s="96">
        <f>I57/E57</f>
        <v>0.60044280497360902</v>
      </c>
      <c r="G57" s="96">
        <f>COS(ATAN(H57))</f>
        <v>0.80037620106940166</v>
      </c>
      <c r="H57" s="96">
        <f>J57/I57</f>
        <v>0.74902036053741217</v>
      </c>
      <c r="I57" s="96">
        <f>SUM(I55:I56)</f>
        <v>251.72820247933882</v>
      </c>
      <c r="J57" s="96">
        <f>SUM(J55:J56)</f>
        <v>188.54954897850905</v>
      </c>
      <c r="K57" s="119"/>
      <c r="L57" s="119"/>
      <c r="M57" s="95">
        <f>SUM(M55:M56)</f>
        <v>214.10820247933881</v>
      </c>
      <c r="N57" s="96">
        <f>SUM(N55:N56)</f>
        <v>188.54954897850905</v>
      </c>
      <c r="O57" s="96">
        <f>SQRT(POWER(M57, 2)+POWER(N57, 2))</f>
        <v>285.29503113256766</v>
      </c>
      <c r="P57" s="98">
        <f>O57/(1.73*0.38)</f>
        <v>433.97479636837187</v>
      </c>
    </row>
    <row r="58" spans="1:18" ht="18.75" x14ac:dyDescent="0.3">
      <c r="A58" s="526" t="s">
        <v>170</v>
      </c>
      <c r="B58" s="527"/>
      <c r="C58" s="527"/>
      <c r="D58" s="527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8"/>
    </row>
    <row r="59" spans="1:18" ht="15.75" x14ac:dyDescent="0.25">
      <c r="A59" s="117" t="s">
        <v>169</v>
      </c>
      <c r="B59" s="112">
        <v>18</v>
      </c>
      <c r="C59" s="112">
        <v>1</v>
      </c>
      <c r="D59" s="112">
        <v>14</v>
      </c>
      <c r="E59" s="112">
        <v>760</v>
      </c>
      <c r="F59" s="118">
        <v>0.32</v>
      </c>
      <c r="G59" s="118">
        <v>0.7</v>
      </c>
      <c r="H59" s="87">
        <f>TAN(ACOS(G55))</f>
        <v>0.74999999999999978</v>
      </c>
      <c r="I59" s="87">
        <f>E59*F59</f>
        <v>243.20000000000002</v>
      </c>
      <c r="J59" s="87">
        <f>I59*H59</f>
        <v>182.39999999999995</v>
      </c>
      <c r="K59" s="88">
        <f>2*E59/D59</f>
        <v>108.57142857142857</v>
      </c>
      <c r="L59" s="119">
        <v>0.85</v>
      </c>
      <c r="M59" s="85">
        <f>I59*L59</f>
        <v>206.72</v>
      </c>
      <c r="N59" s="87">
        <f>J59</f>
        <v>182.39999999999995</v>
      </c>
      <c r="O59" s="87">
        <f>SQRT(POWER(M59, 2)+POWER(N59, 2))</f>
        <v>275.68626806571268</v>
      </c>
      <c r="P59" s="89"/>
    </row>
    <row r="60" spans="1:18" ht="15.75" x14ac:dyDescent="0.25">
      <c r="A60" s="84" t="s">
        <v>158</v>
      </c>
      <c r="B60" s="117"/>
      <c r="C60" s="119"/>
      <c r="D60" s="119"/>
      <c r="E60" s="113">
        <f>СВЕТ!L16</f>
        <v>4.4352000000000009</v>
      </c>
      <c r="F60" s="119"/>
      <c r="G60" s="119"/>
      <c r="H60" s="119"/>
      <c r="I60" s="86">
        <f>M60</f>
        <v>3.3264000000000005</v>
      </c>
      <c r="J60" s="86">
        <f>N60</f>
        <v>1.6110490495326328</v>
      </c>
      <c r="K60" s="119"/>
      <c r="L60" s="119"/>
      <c r="M60" s="87">
        <f>СВЕТ!M16</f>
        <v>3.3264000000000005</v>
      </c>
      <c r="N60" s="87">
        <f>СВЕТ!N16</f>
        <v>1.6110490495326328</v>
      </c>
      <c r="O60" s="86">
        <f>SQRT(POWER(M60, 2)+POWER(N60, 2))</f>
        <v>3.6960000000000002</v>
      </c>
      <c r="P60" s="89"/>
    </row>
    <row r="61" spans="1:18" ht="15.75" x14ac:dyDescent="0.25">
      <c r="A61" s="117" t="s">
        <v>132</v>
      </c>
      <c r="B61" s="112">
        <f>SUM(B59:B60)</f>
        <v>18</v>
      </c>
      <c r="C61" s="112">
        <v>1</v>
      </c>
      <c r="D61" s="112">
        <v>14</v>
      </c>
      <c r="E61" s="112">
        <f>SUM(E59, E60)</f>
        <v>764.43520000000001</v>
      </c>
      <c r="F61" s="96">
        <f>I61/E61</f>
        <v>0.32249483017003927</v>
      </c>
      <c r="G61" s="96">
        <f>COS(ATAN(H61))</f>
        <v>0.80137682441793823</v>
      </c>
      <c r="H61" s="96">
        <f>J61/I61</f>
        <v>0.74641518737763002</v>
      </c>
      <c r="I61" s="96">
        <f>SUM(I59:I60)</f>
        <v>246.52640000000002</v>
      </c>
      <c r="J61" s="96">
        <f>SUM(J59:J60)</f>
        <v>184.01104904953257</v>
      </c>
      <c r="K61" s="119"/>
      <c r="L61" s="119"/>
      <c r="M61" s="95">
        <f>SUM(M59:M60)</f>
        <v>210.04640000000001</v>
      </c>
      <c r="N61" s="96">
        <f>SUM(N59:N60)</f>
        <v>184.01104904953257</v>
      </c>
      <c r="O61" s="96">
        <f>SQRT(POWER(M61, 2)+POWER(N61, 2))</f>
        <v>279.24819842797461</v>
      </c>
      <c r="P61" s="98">
        <f>O61/(1.73*0.38)</f>
        <v>424.7766936841719</v>
      </c>
    </row>
    <row r="62" spans="1:18" ht="18.75" x14ac:dyDescent="0.3">
      <c r="A62" s="526" t="s">
        <v>171</v>
      </c>
      <c r="B62" s="527"/>
      <c r="C62" s="527"/>
      <c r="D62" s="527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8"/>
    </row>
    <row r="63" spans="1:18" ht="15.75" x14ac:dyDescent="0.25">
      <c r="A63" s="117" t="s">
        <v>169</v>
      </c>
      <c r="B63" s="112">
        <v>2</v>
      </c>
      <c r="C63" s="112">
        <v>1</v>
      </c>
      <c r="D63" s="112">
        <v>110</v>
      </c>
      <c r="E63" s="112">
        <v>2600</v>
      </c>
      <c r="F63" s="118">
        <v>0.3</v>
      </c>
      <c r="G63" s="118">
        <v>0.7</v>
      </c>
      <c r="H63" s="87">
        <f>TAN(ACOS(G55))</f>
        <v>0.74999999999999978</v>
      </c>
      <c r="I63" s="87">
        <f>E63*F63</f>
        <v>780</v>
      </c>
      <c r="J63" s="87">
        <f>I63*H63</f>
        <v>584.99999999999977</v>
      </c>
      <c r="K63" s="88">
        <f>2*E63/D63</f>
        <v>47.272727272727273</v>
      </c>
      <c r="L63" s="119">
        <v>1.52</v>
      </c>
      <c r="M63" s="85">
        <f>I63*L63</f>
        <v>1185.5999999999999</v>
      </c>
      <c r="N63" s="87">
        <f>J63</f>
        <v>584.99999999999977</v>
      </c>
      <c r="O63" s="87">
        <f>SQRT(POWER(M63, 2)+POWER(N63, 2))</f>
        <v>1322.071238625211</v>
      </c>
      <c r="P63" s="89"/>
    </row>
    <row r="64" spans="1:18" ht="15.75" x14ac:dyDescent="0.25">
      <c r="A64" s="84" t="s">
        <v>158</v>
      </c>
      <c r="B64" s="120"/>
      <c r="C64" s="89"/>
      <c r="D64" s="89"/>
      <c r="E64" s="113">
        <f>СВЕТ!L17</f>
        <v>4.2600000000000007</v>
      </c>
      <c r="F64" s="89"/>
      <c r="G64" s="89"/>
      <c r="H64" s="89"/>
      <c r="I64" s="86">
        <f>M64</f>
        <v>3.1950000000000003</v>
      </c>
      <c r="J64" s="86">
        <f>N64</f>
        <v>1.5474091249569391</v>
      </c>
      <c r="K64" s="89"/>
      <c r="L64" s="89"/>
      <c r="M64" s="87">
        <f>СВЕТ!M17</f>
        <v>3.1950000000000003</v>
      </c>
      <c r="N64" s="87">
        <f>СВЕТ!N17</f>
        <v>1.5474091249569391</v>
      </c>
      <c r="O64" s="86">
        <f>SQRT(POWER(M64, 2)+POWER(N64, 2))</f>
        <v>3.5500000000000003</v>
      </c>
      <c r="P64" s="89"/>
    </row>
    <row r="65" spans="1:16" ht="15.75" x14ac:dyDescent="0.25">
      <c r="A65" s="117" t="s">
        <v>132</v>
      </c>
      <c r="B65" s="112">
        <f>SUM(B63:B64)</f>
        <v>2</v>
      </c>
      <c r="C65" s="112">
        <v>1</v>
      </c>
      <c r="D65" s="112">
        <v>110</v>
      </c>
      <c r="E65" s="112">
        <f>SUM(E63, E64)</f>
        <v>2604.2600000000002</v>
      </c>
      <c r="F65" s="96">
        <f>I65/E65</f>
        <v>0.30073610161811798</v>
      </c>
      <c r="G65" s="96">
        <f>COS(ATAN(H65))</f>
        <v>0.80041620999906737</v>
      </c>
      <c r="H65" s="96">
        <f>J65/I65</f>
        <v>0.74891618195335352</v>
      </c>
      <c r="I65" s="96">
        <f>SUM(I63:I64)</f>
        <v>783.19500000000005</v>
      </c>
      <c r="J65" s="96">
        <f>SUM(J63:J64)</f>
        <v>586.54740912495674</v>
      </c>
      <c r="K65" s="89"/>
      <c r="L65" s="89"/>
      <c r="M65" s="95">
        <f>SUM(M63:M64)</f>
        <v>1188.7949999999998</v>
      </c>
      <c r="N65" s="96">
        <f>SUM(N63:N64)</f>
        <v>586.54740912495674</v>
      </c>
      <c r="O65" s="96">
        <f>SQRT(POWER(M65, 2)+POWER(N65, 2))</f>
        <v>1325.621143153729</v>
      </c>
      <c r="P65" s="98">
        <f>O65/(1.73*0.38)</f>
        <v>2016.4605159016262</v>
      </c>
    </row>
    <row r="66" spans="1:16" ht="18.75" x14ac:dyDescent="0.25">
      <c r="A66" s="523" t="s">
        <v>172</v>
      </c>
      <c r="B66" s="524"/>
      <c r="C66" s="524"/>
      <c r="D66" s="524"/>
      <c r="E66" s="524"/>
      <c r="F66" s="524"/>
      <c r="G66" s="524"/>
      <c r="H66" s="524"/>
      <c r="I66" s="524"/>
      <c r="J66" s="524"/>
      <c r="K66" s="524"/>
      <c r="L66" s="524"/>
      <c r="M66" s="524"/>
      <c r="N66" s="524"/>
      <c r="O66" s="525"/>
    </row>
    <row r="67" spans="1:16" ht="15.75" x14ac:dyDescent="0.25">
      <c r="A67" s="84" t="s">
        <v>123</v>
      </c>
      <c r="B67" s="105">
        <v>39</v>
      </c>
      <c r="C67" s="105">
        <v>1.8</v>
      </c>
      <c r="D67" s="105">
        <v>65</v>
      </c>
      <c r="E67" s="105">
        <v>427</v>
      </c>
      <c r="F67" s="106">
        <v>0.6</v>
      </c>
      <c r="G67" s="106">
        <v>0.52</v>
      </c>
      <c r="H67" s="87">
        <f>TAN(ACOS(G55))</f>
        <v>0.74999999999999978</v>
      </c>
      <c r="I67" s="87">
        <f>E67*F67</f>
        <v>256.2</v>
      </c>
      <c r="J67" s="87">
        <f>I67*H67</f>
        <v>192.14999999999992</v>
      </c>
      <c r="K67" s="88">
        <f>2*E67/D67</f>
        <v>13.138461538461538</v>
      </c>
      <c r="L67" s="85">
        <v>0.75</v>
      </c>
      <c r="M67" s="85">
        <f>I67*L67</f>
        <v>192.14999999999998</v>
      </c>
      <c r="N67" s="87">
        <f>J67</f>
        <v>192.14999999999992</v>
      </c>
      <c r="O67" s="87">
        <f>SQRT(POWER(M67, 2)+POWER(N67, 2))</f>
        <v>271.74113600999016</v>
      </c>
      <c r="P67" s="89"/>
    </row>
    <row r="68" spans="1:16" ht="15.75" x14ac:dyDescent="0.25">
      <c r="A68" s="84" t="s">
        <v>158</v>
      </c>
      <c r="B68" s="85"/>
      <c r="C68" s="85"/>
      <c r="D68" s="85"/>
      <c r="E68" s="86">
        <f>СВЕТ!L17</f>
        <v>4.2600000000000007</v>
      </c>
      <c r="F68" s="85"/>
      <c r="G68" s="87"/>
      <c r="H68" s="85"/>
      <c r="I68" s="86">
        <f>M68</f>
        <v>1.1099999999999999</v>
      </c>
      <c r="J68" s="86">
        <f>N68</f>
        <v>0.53759753637001628</v>
      </c>
      <c r="K68" s="88"/>
      <c r="L68" s="85"/>
      <c r="M68" s="86">
        <f>СВЕТ!M23</f>
        <v>1.1099999999999999</v>
      </c>
      <c r="N68" s="86">
        <f>СВЕТ!N23</f>
        <v>0.53759753637001628</v>
      </c>
      <c r="O68" s="88">
        <f>SQRT(POWER(M68, 2)+POWER(N68, 2))</f>
        <v>1.2333333333333332</v>
      </c>
      <c r="P68" s="89"/>
    </row>
    <row r="69" spans="1:16" ht="18.75" x14ac:dyDescent="0.25">
      <c r="A69" s="84" t="s">
        <v>136</v>
      </c>
      <c r="B69" s="85">
        <f>SUM(B67:B68)</f>
        <v>39</v>
      </c>
      <c r="C69" s="115">
        <v>1.8</v>
      </c>
      <c r="D69" s="115">
        <v>65</v>
      </c>
      <c r="E69" s="87">
        <f>SUM(E67:E68)</f>
        <v>431.26</v>
      </c>
      <c r="F69" s="87">
        <f>I69/E69</f>
        <v>0.5966470342716691</v>
      </c>
      <c r="G69" s="87">
        <f>COS(ATAN(H69))</f>
        <v>0.80044012829206435</v>
      </c>
      <c r="H69" s="87">
        <f>J69/I69</f>
        <v>0.74885390204955082</v>
      </c>
      <c r="I69" s="87">
        <f>SUM(I67:I68)</f>
        <v>257.31</v>
      </c>
      <c r="J69" s="87">
        <f>SUM(J67:J68)</f>
        <v>192.68759753636994</v>
      </c>
      <c r="K69" s="88"/>
      <c r="L69" s="85"/>
      <c r="M69" s="88">
        <f>SUM(M67:M68)</f>
        <v>193.26</v>
      </c>
      <c r="N69" s="87">
        <f>SUM(N67:N68)</f>
        <v>192.68759753636994</v>
      </c>
      <c r="O69" s="87">
        <f>SQRT(POWER(M69, 2)+POWER(N69, 2))</f>
        <v>272.90646354444971</v>
      </c>
      <c r="P69" s="98">
        <f>O69/(1.73*0.38)</f>
        <v>415.13000234933025</v>
      </c>
    </row>
    <row r="70" spans="1:16" ht="15.75" x14ac:dyDescent="0.25">
      <c r="A70" s="84" t="s">
        <v>173</v>
      </c>
      <c r="B70" s="85"/>
      <c r="C70" s="85"/>
      <c r="D70" s="85"/>
      <c r="E70" s="95">
        <f>СВЕТ!L18</f>
        <v>0.66</v>
      </c>
      <c r="F70" s="94"/>
      <c r="G70" s="96"/>
      <c r="H70" s="94"/>
      <c r="I70" s="96"/>
      <c r="J70" s="96"/>
      <c r="K70" s="88"/>
      <c r="L70" s="85"/>
      <c r="M70" s="87">
        <f>СВЕТ!M23</f>
        <v>1.1099999999999999</v>
      </c>
      <c r="N70" s="87">
        <f>СВЕТ!N18</f>
        <v>0.239739441894737</v>
      </c>
      <c r="O70" s="96">
        <f>SQRT(POWER(M70, 2)+POWER(N70, 2))</f>
        <v>1.1355945579298976</v>
      </c>
      <c r="P70" s="89"/>
    </row>
    <row r="71" spans="1:16" ht="15.75" x14ac:dyDescent="0.25">
      <c r="A71" s="4" t="s">
        <v>174</v>
      </c>
      <c r="B71" s="62"/>
      <c r="C71" s="62"/>
      <c r="D71" s="62"/>
      <c r="E71" s="18">
        <f>E11+E15+E19+E24+E28+E32+E36+E40+E44+E48+E70+E53+E57+E61+E65+E69</f>
        <v>21300.045621488785</v>
      </c>
      <c r="F71" s="121"/>
      <c r="G71" s="122"/>
      <c r="H71" s="121"/>
      <c r="I71" s="122"/>
      <c r="J71" s="122"/>
      <c r="K71" s="123"/>
      <c r="L71" s="121"/>
      <c r="M71" s="17">
        <f>SUM(M11+M15+M19+M24+M28+M32+M36+M40+M44+M48+M53+M70+M57+M59+M61+M65+M69+M70)</f>
        <v>7637.6104453713579</v>
      </c>
      <c r="N71" s="17">
        <f>N11+N15+N19+N24+N28+N32+N36+N40+N44+N48+N53+N70+N57+N61+N65+N69</f>
        <v>8279.0980503131141</v>
      </c>
      <c r="O71" s="17">
        <f>SQRT(POWER(M71, 2)+POWER(N71, 2))</f>
        <v>11263.949477955948</v>
      </c>
      <c r="P71" s="124">
        <f>O71/(1.73*0.38)</f>
        <v>17134.088040699648</v>
      </c>
    </row>
    <row r="73" spans="1:16" ht="18.75" x14ac:dyDescent="0.3">
      <c r="A73" s="532" t="s">
        <v>175</v>
      </c>
      <c r="B73" s="533"/>
      <c r="C73" s="533"/>
      <c r="D73" s="533"/>
      <c r="E73" s="533"/>
      <c r="F73" s="533"/>
      <c r="G73" s="533"/>
      <c r="H73" s="533"/>
      <c r="I73" s="533"/>
      <c r="J73" s="533"/>
      <c r="K73" s="533"/>
      <c r="L73" s="533"/>
      <c r="M73" s="533"/>
      <c r="N73" s="533"/>
      <c r="O73" s="534"/>
    </row>
    <row r="74" spans="1:16" ht="18.75" x14ac:dyDescent="0.3">
      <c r="A74" s="535" t="s">
        <v>176</v>
      </c>
      <c r="B74" s="536"/>
      <c r="C74" s="536"/>
      <c r="D74" s="536"/>
      <c r="E74" s="536"/>
      <c r="F74" s="536"/>
      <c r="G74" s="536"/>
      <c r="H74" s="536"/>
      <c r="I74" s="536"/>
      <c r="J74" s="536"/>
      <c r="K74" s="536"/>
      <c r="L74" s="536"/>
      <c r="M74" s="536"/>
      <c r="N74" s="536"/>
      <c r="O74" s="537"/>
    </row>
    <row r="75" spans="1:16" ht="15.75" x14ac:dyDescent="0.25">
      <c r="A75" s="482" t="s">
        <v>2</v>
      </c>
      <c r="B75" s="483"/>
      <c r="C75" s="483"/>
      <c r="D75" s="483"/>
      <c r="E75" s="483"/>
      <c r="F75" s="483"/>
      <c r="G75" s="483"/>
      <c r="H75" s="484"/>
      <c r="I75" s="482" t="s">
        <v>3</v>
      </c>
      <c r="J75" s="484"/>
      <c r="K75" s="538" t="s">
        <v>5</v>
      </c>
      <c r="L75" s="493" t="s">
        <v>6</v>
      </c>
      <c r="M75" s="482" t="s">
        <v>7</v>
      </c>
      <c r="N75" s="483"/>
      <c r="O75" s="484"/>
    </row>
    <row r="76" spans="1:16" ht="15.75" x14ac:dyDescent="0.25">
      <c r="A76" s="482" t="s">
        <v>9</v>
      </c>
      <c r="B76" s="483"/>
      <c r="C76" s="483"/>
      <c r="D76" s="483"/>
      <c r="E76" s="484"/>
      <c r="F76" s="482" t="s">
        <v>10</v>
      </c>
      <c r="G76" s="483"/>
      <c r="H76" s="484"/>
      <c r="I76" s="482" t="s">
        <v>11</v>
      </c>
      <c r="J76" s="482" t="s">
        <v>177</v>
      </c>
      <c r="K76" s="539"/>
      <c r="L76" s="541"/>
      <c r="M76" s="482" t="s">
        <v>13</v>
      </c>
      <c r="N76" s="507" t="s">
        <v>178</v>
      </c>
      <c r="O76" s="509" t="s">
        <v>179</v>
      </c>
    </row>
    <row r="77" spans="1:16" ht="15.75" x14ac:dyDescent="0.25">
      <c r="A77" s="542" t="s">
        <v>180</v>
      </c>
      <c r="B77" s="493" t="s">
        <v>17</v>
      </c>
      <c r="C77" s="493" t="s">
        <v>181</v>
      </c>
      <c r="D77" s="522"/>
      <c r="E77" s="515"/>
      <c r="F77" s="488" t="s">
        <v>19</v>
      </c>
      <c r="G77" s="488" t="s">
        <v>20</v>
      </c>
      <c r="H77" s="488" t="s">
        <v>21</v>
      </c>
      <c r="I77" s="511"/>
      <c r="J77" s="511"/>
      <c r="K77" s="539"/>
      <c r="L77" s="541"/>
      <c r="M77" s="511"/>
      <c r="N77" s="508"/>
      <c r="O77" s="510"/>
    </row>
    <row r="78" spans="1:16" ht="47.25" x14ac:dyDescent="0.25">
      <c r="A78" s="543"/>
      <c r="B78" s="494"/>
      <c r="C78" s="4" t="s">
        <v>23</v>
      </c>
      <c r="D78" s="4"/>
      <c r="E78" s="4" t="s">
        <v>24</v>
      </c>
      <c r="F78" s="489"/>
      <c r="G78" s="489"/>
      <c r="H78" s="489"/>
      <c r="I78" s="4" t="s">
        <v>182</v>
      </c>
      <c r="J78" s="2" t="s">
        <v>183</v>
      </c>
      <c r="K78" s="540"/>
      <c r="L78" s="494"/>
      <c r="M78" s="3" t="s">
        <v>27</v>
      </c>
      <c r="N78" s="3" t="s">
        <v>28</v>
      </c>
      <c r="O78" s="3" t="s">
        <v>29</v>
      </c>
    </row>
    <row r="79" spans="1:16" ht="15.75" x14ac:dyDescent="0.25">
      <c r="A79" s="2">
        <v>2</v>
      </c>
      <c r="B79" s="2">
        <v>3</v>
      </c>
      <c r="C79" s="2">
        <v>4</v>
      </c>
      <c r="D79" s="2"/>
      <c r="E79" s="2">
        <v>5</v>
      </c>
      <c r="F79" s="7">
        <v>7</v>
      </c>
      <c r="G79" s="7">
        <v>8</v>
      </c>
      <c r="H79" s="7">
        <v>9</v>
      </c>
      <c r="I79" s="2">
        <v>10</v>
      </c>
      <c r="J79" s="2">
        <v>11</v>
      </c>
      <c r="K79" s="82">
        <v>12</v>
      </c>
      <c r="L79" s="2">
        <v>13</v>
      </c>
      <c r="M79" s="2">
        <v>14</v>
      </c>
      <c r="N79" s="2">
        <v>15</v>
      </c>
      <c r="O79" s="2">
        <v>16</v>
      </c>
    </row>
    <row r="80" spans="1:16" ht="18.75" x14ac:dyDescent="0.25">
      <c r="A80" s="519" t="s">
        <v>184</v>
      </c>
      <c r="B80" s="520"/>
      <c r="C80" s="520"/>
      <c r="D80" s="520"/>
      <c r="E80" s="520"/>
      <c r="F80" s="520"/>
      <c r="G80" s="520"/>
      <c r="H80" s="520"/>
      <c r="I80" s="520"/>
      <c r="J80" s="520"/>
      <c r="K80" s="520"/>
      <c r="L80" s="520"/>
      <c r="M80" s="520"/>
      <c r="N80" s="520"/>
      <c r="O80" s="521"/>
    </row>
    <row r="81" spans="1:16" ht="18.75" x14ac:dyDescent="0.25">
      <c r="A81" s="83" t="s">
        <v>185</v>
      </c>
      <c r="B81" s="2">
        <v>5</v>
      </c>
      <c r="C81" s="2">
        <v>4800</v>
      </c>
      <c r="D81" s="2"/>
      <c r="E81" s="2">
        <f>B81*C81</f>
        <v>24000</v>
      </c>
      <c r="F81" s="36">
        <v>0.7</v>
      </c>
      <c r="G81" s="17">
        <v>0.8</v>
      </c>
      <c r="H81" s="17">
        <f>TAN(ACOS(G81))</f>
        <v>0.74999999999999978</v>
      </c>
      <c r="I81" s="83">
        <f>E81*F81</f>
        <v>16800</v>
      </c>
      <c r="J81" s="83">
        <f>I81*H81</f>
        <v>12599.999999999996</v>
      </c>
      <c r="K81" s="125">
        <f>2*E81/C81</f>
        <v>10</v>
      </c>
      <c r="L81" s="125">
        <v>0.93</v>
      </c>
      <c r="M81" s="83">
        <f>I81*L81</f>
        <v>15624</v>
      </c>
      <c r="N81" s="126">
        <f>1.1*J81</f>
        <v>13859.999999999996</v>
      </c>
      <c r="O81" s="127">
        <f>SQRT(POWER(M81, 2)+POWER(N81, 2))</f>
        <v>20885.616485993414</v>
      </c>
      <c r="P81" s="98">
        <f>O81/(1.73*0.38)</f>
        <v>31770.028119856121</v>
      </c>
    </row>
    <row r="82" spans="1:16" x14ac:dyDescent="0.25">
      <c r="O82" s="128"/>
    </row>
    <row r="83" spans="1:16" ht="18.75" x14ac:dyDescent="0.25">
      <c r="A83" s="519" t="s">
        <v>148</v>
      </c>
      <c r="B83" s="520"/>
      <c r="C83" s="520"/>
      <c r="D83" s="520"/>
      <c r="E83" s="520"/>
      <c r="F83" s="520"/>
      <c r="G83" s="520"/>
      <c r="H83" s="520"/>
      <c r="I83" s="520"/>
      <c r="J83" s="520"/>
      <c r="K83" s="520"/>
      <c r="L83" s="520"/>
      <c r="M83" s="520"/>
      <c r="N83" s="520"/>
      <c r="O83" s="521"/>
    </row>
    <row r="84" spans="1:16" ht="18.75" x14ac:dyDescent="0.25">
      <c r="A84" s="129" t="s">
        <v>186</v>
      </c>
      <c r="B84" s="3">
        <v>8</v>
      </c>
      <c r="C84" s="3">
        <v>630</v>
      </c>
      <c r="D84" s="3"/>
      <c r="E84" s="5">
        <f>B84*C84</f>
        <v>5040</v>
      </c>
      <c r="F84" s="130">
        <v>0.7</v>
      </c>
      <c r="G84" s="130">
        <v>0.8</v>
      </c>
      <c r="H84" s="130">
        <f>TAN(ACOS(G84))</f>
        <v>0.74999999999999978</v>
      </c>
      <c r="I84" s="130">
        <f>E84*F84</f>
        <v>3528</v>
      </c>
      <c r="J84" s="130">
        <f>I84*H84</f>
        <v>2645.9999999999991</v>
      </c>
      <c r="K84" s="125">
        <v>8</v>
      </c>
      <c r="L84" s="131">
        <v>0.91</v>
      </c>
      <c r="M84" s="130">
        <f>L84*I84</f>
        <v>3210.48</v>
      </c>
      <c r="N84" s="130">
        <f>IF(K84&gt;10, J84, 1.1*J84)</f>
        <v>2910.5999999999995</v>
      </c>
      <c r="O84" s="130">
        <f>SQRT(POWER(M84, 2)+POWER(N84, 2))</f>
        <v>4333.4483024953688</v>
      </c>
      <c r="P84" s="98">
        <f>O84/(1.73*0.38)</f>
        <v>6591.7984522290371</v>
      </c>
    </row>
    <row r="86" spans="1:16" ht="18.75" x14ac:dyDescent="0.3">
      <c r="A86" s="116" t="s">
        <v>163</v>
      </c>
    </row>
    <row r="87" spans="1:16" ht="18.75" x14ac:dyDescent="0.3">
      <c r="A87" s="1" t="s">
        <v>187</v>
      </c>
      <c r="B87" s="8">
        <v>2</v>
      </c>
      <c r="C87" s="8">
        <v>1000</v>
      </c>
      <c r="D87" s="1"/>
      <c r="E87" s="8">
        <f>B87*C87</f>
        <v>2000</v>
      </c>
      <c r="F87" s="132">
        <v>0.7</v>
      </c>
      <c r="G87" s="8">
        <v>0.8</v>
      </c>
      <c r="H87" s="130">
        <f>TAN(ACOS(G87))</f>
        <v>0.74999999999999978</v>
      </c>
      <c r="I87" s="83">
        <f>E87*F87</f>
        <v>1400</v>
      </c>
      <c r="J87" s="83">
        <f>I87*H87</f>
        <v>1049.9999999999998</v>
      </c>
      <c r="K87" s="79">
        <v>4</v>
      </c>
      <c r="L87" s="79">
        <v>1</v>
      </c>
      <c r="M87" s="130">
        <f>L87*I87</f>
        <v>1400</v>
      </c>
      <c r="N87" s="130">
        <f>IF(K87&gt;10, J87, 1.1*J87)</f>
        <v>1154.9999999999998</v>
      </c>
      <c r="O87" s="130">
        <f>SQRT(POWER(M87, 2)+POWER(N87, 2))</f>
        <v>1814.9449027449841</v>
      </c>
      <c r="P87" s="98">
        <f>O87/(1.73*0.38)</f>
        <v>2760.7923680331369</v>
      </c>
    </row>
    <row r="89" spans="1:16" ht="18.75" x14ac:dyDescent="0.25">
      <c r="A89" s="83" t="s">
        <v>188</v>
      </c>
      <c r="B89" s="83"/>
      <c r="C89" s="83"/>
      <c r="D89" s="83"/>
      <c r="E89" s="83"/>
      <c r="F89" s="83"/>
      <c r="G89" s="83"/>
      <c r="H89" s="83"/>
      <c r="I89" s="83">
        <f>SUM(I81:I84)</f>
        <v>20328</v>
      </c>
      <c r="J89" s="83">
        <f>SUM(J81:J84)</f>
        <v>15245.999999999996</v>
      </c>
      <c r="K89" s="83"/>
      <c r="L89" s="83"/>
      <c r="M89" s="83">
        <f>SUM(M81:M84)</f>
        <v>18834.48</v>
      </c>
      <c r="N89" s="126">
        <f>SUM(N81:N84)</f>
        <v>16770.599999999995</v>
      </c>
      <c r="O89" s="127">
        <f>SQRT(POWER(M89, 2)+POWER(N89, 2))</f>
        <v>25218.855272006298</v>
      </c>
    </row>
  </sheetData>
  <mergeCells count="61">
    <mergeCell ref="J4:J5"/>
    <mergeCell ref="I4:I5"/>
    <mergeCell ref="A5:A6"/>
    <mergeCell ref="B5:B6"/>
    <mergeCell ref="C5:E5"/>
    <mergeCell ref="F5:F6"/>
    <mergeCell ref="G5:G6"/>
    <mergeCell ref="H5:H6"/>
    <mergeCell ref="F4:H4"/>
    <mergeCell ref="A4:E4"/>
    <mergeCell ref="A1:O1"/>
    <mergeCell ref="A2:O2"/>
    <mergeCell ref="A3:H3"/>
    <mergeCell ref="T3:W3"/>
    <mergeCell ref="A20:O20"/>
    <mergeCell ref="A16:O16"/>
    <mergeCell ref="A12:N12"/>
    <mergeCell ref="A8:O8"/>
    <mergeCell ref="P3:P6"/>
    <mergeCell ref="M3:O3"/>
    <mergeCell ref="L3:L6"/>
    <mergeCell ref="O4:O5"/>
    <mergeCell ref="K3:K6"/>
    <mergeCell ref="N4:N5"/>
    <mergeCell ref="M4:M5"/>
    <mergeCell ref="I3:J3"/>
    <mergeCell ref="A25:O25"/>
    <mergeCell ref="A23:O23"/>
    <mergeCell ref="A73:O73"/>
    <mergeCell ref="M75:O75"/>
    <mergeCell ref="A74:O74"/>
    <mergeCell ref="I75:J75"/>
    <mergeCell ref="K75:K78"/>
    <mergeCell ref="L75:L78"/>
    <mergeCell ref="G77:G78"/>
    <mergeCell ref="F77:F78"/>
    <mergeCell ref="B77:B78"/>
    <mergeCell ref="A77:A78"/>
    <mergeCell ref="J76:J77"/>
    <mergeCell ref="I76:I77"/>
    <mergeCell ref="M76:M77"/>
    <mergeCell ref="N76:N77"/>
    <mergeCell ref="A45:O45"/>
    <mergeCell ref="A41:O41"/>
    <mergeCell ref="A37:O37"/>
    <mergeCell ref="A33:O33"/>
    <mergeCell ref="A29:O29"/>
    <mergeCell ref="A62:O62"/>
    <mergeCell ref="A58:O58"/>
    <mergeCell ref="A54:O54"/>
    <mergeCell ref="A50:O50"/>
    <mergeCell ref="A49:O49"/>
    <mergeCell ref="A83:O83"/>
    <mergeCell ref="H77:H78"/>
    <mergeCell ref="A80:O80"/>
    <mergeCell ref="C77:E77"/>
    <mergeCell ref="A66:O66"/>
    <mergeCell ref="F76:H76"/>
    <mergeCell ref="A76:E76"/>
    <mergeCell ref="A75:H75"/>
    <mergeCell ref="O76:O77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2"/>
  <sheetViews>
    <sheetView workbookViewId="0"/>
  </sheetViews>
  <sheetFormatPr defaultColWidth="9.140625" defaultRowHeight="15" x14ac:dyDescent="0.25"/>
  <cols>
    <col min="1" max="1" width="47.140625" style="75" customWidth="1"/>
    <col min="2" max="2" width="14" style="75" customWidth="1"/>
    <col min="3" max="3" width="13.140625" style="75" customWidth="1"/>
    <col min="4" max="4" width="27.28515625" style="75" customWidth="1"/>
    <col min="5" max="5" width="18.85546875" style="75" customWidth="1"/>
    <col min="6" max="6" width="12.140625" style="75" customWidth="1"/>
    <col min="7" max="7" width="13.7109375" style="75" customWidth="1"/>
    <col min="8" max="8" width="11" style="75" customWidth="1"/>
    <col min="9" max="9" width="9.140625" style="75" bestFit="1" customWidth="1"/>
    <col min="10" max="16384" width="9.140625" style="75"/>
  </cols>
  <sheetData>
    <row r="1" spans="1:13" ht="18.75" x14ac:dyDescent="0.3">
      <c r="A1" s="99" t="s">
        <v>189</v>
      </c>
      <c r="B1" s="99"/>
      <c r="C1" s="99"/>
      <c r="D1" s="99"/>
      <c r="E1" s="99"/>
      <c r="F1" s="99"/>
      <c r="G1" s="100"/>
      <c r="H1" s="99"/>
    </row>
    <row r="2" spans="1:13" ht="18.75" x14ac:dyDescent="0.25">
      <c r="A2" s="559" t="s">
        <v>190</v>
      </c>
      <c r="B2" s="560"/>
      <c r="C2" s="560"/>
      <c r="D2" s="560"/>
      <c r="E2" s="560"/>
      <c r="F2" s="560"/>
      <c r="G2" s="560"/>
      <c r="H2" s="561"/>
    </row>
    <row r="3" spans="1:13" ht="18.75" x14ac:dyDescent="0.25">
      <c r="A3" s="562" t="s">
        <v>191</v>
      </c>
      <c r="B3" s="565" t="s">
        <v>192</v>
      </c>
      <c r="C3" s="562" t="s">
        <v>193</v>
      </c>
      <c r="D3" s="568"/>
      <c r="E3" s="569"/>
      <c r="F3" s="565" t="s">
        <v>194</v>
      </c>
      <c r="G3" s="570" t="s">
        <v>195</v>
      </c>
      <c r="H3" s="570" t="s">
        <v>196</v>
      </c>
    </row>
    <row r="4" spans="1:13" ht="24" customHeight="1" x14ac:dyDescent="0.3">
      <c r="A4" s="563"/>
      <c r="B4" s="566"/>
      <c r="C4" s="134" t="s">
        <v>27</v>
      </c>
      <c r="D4" s="134" t="s">
        <v>28</v>
      </c>
      <c r="E4" s="134" t="s">
        <v>29</v>
      </c>
      <c r="F4" s="566"/>
      <c r="G4" s="571"/>
      <c r="H4" s="571"/>
    </row>
    <row r="5" spans="1:13" ht="33" customHeight="1" x14ac:dyDescent="0.35">
      <c r="A5" s="564"/>
      <c r="B5" s="567"/>
      <c r="C5" s="134" t="s">
        <v>197</v>
      </c>
      <c r="D5" s="134" t="s">
        <v>198</v>
      </c>
      <c r="E5" s="134" t="s">
        <v>199</v>
      </c>
      <c r="F5" s="567"/>
      <c r="G5" s="572"/>
      <c r="H5" s="572"/>
    </row>
    <row r="6" spans="1:13" ht="18.75" x14ac:dyDescent="0.3">
      <c r="A6" s="135" t="s">
        <v>200</v>
      </c>
      <c r="B6" s="136"/>
      <c r="C6" s="137"/>
      <c r="D6" s="137"/>
      <c r="E6" s="137"/>
      <c r="F6" s="137"/>
      <c r="G6" s="138"/>
      <c r="H6" s="137"/>
    </row>
    <row r="7" spans="1:13" ht="18.75" x14ac:dyDescent="0.3">
      <c r="A7" s="116" t="s">
        <v>164</v>
      </c>
      <c r="C7" s="139">
        <f>'0,4'!M48</f>
        <v>866.82126900000003</v>
      </c>
      <c r="D7" s="139">
        <f>'0,4'!N48</f>
        <v>811.36640294039353</v>
      </c>
      <c r="E7" s="140">
        <f>'0,4'!O48</f>
        <v>1187.3055850164285</v>
      </c>
      <c r="F7" s="83"/>
      <c r="G7" s="141"/>
      <c r="H7" s="83"/>
    </row>
    <row r="8" spans="1:13" ht="18.75" x14ac:dyDescent="0.3">
      <c r="A8" s="116" t="s">
        <v>201</v>
      </c>
      <c r="C8" s="140">
        <f>'0,4'!M19</f>
        <v>977.57435276442311</v>
      </c>
      <c r="D8" s="139">
        <f>'0,4'!N19</f>
        <v>1324.2272831230296</v>
      </c>
      <c r="E8" s="140">
        <f>'0,4'!O19</f>
        <v>1645.9737277824884</v>
      </c>
    </row>
    <row r="9" spans="1:13" ht="18.75" x14ac:dyDescent="0.3">
      <c r="A9" s="116" t="s">
        <v>165</v>
      </c>
      <c r="C9" s="139">
        <f>'0,4'!M53</f>
        <v>49.085416666666667</v>
      </c>
      <c r="D9" s="139">
        <f>'0,4'!N53</f>
        <v>112.7457521979747</v>
      </c>
      <c r="E9" s="140">
        <f>'0,4'!O53</f>
        <v>122.96740530737156</v>
      </c>
    </row>
    <row r="10" spans="1:13" ht="18.75" x14ac:dyDescent="0.3">
      <c r="A10" s="116" t="s">
        <v>172</v>
      </c>
      <c r="C10" s="139">
        <f>'0,4'!M69</f>
        <v>193.26</v>
      </c>
      <c r="D10" s="139">
        <f>'0,4'!N69</f>
        <v>192.68759753636994</v>
      </c>
      <c r="E10" s="140">
        <f>'0,4'!O69</f>
        <v>272.90646354444971</v>
      </c>
    </row>
    <row r="11" spans="1:13" ht="18.75" x14ac:dyDescent="0.3">
      <c r="A11" s="142" t="s">
        <v>202</v>
      </c>
      <c r="B11" s="143">
        <f>COS(ATAN(D11/E11))</f>
        <v>0.71130999747763468</v>
      </c>
      <c r="C11" s="143">
        <f>SUM(C7:C10)</f>
        <v>2086.7410384310897</v>
      </c>
      <c r="D11" s="143">
        <f>SUM(D7:D10)</f>
        <v>2441.0270357977674</v>
      </c>
      <c r="E11" s="143">
        <f>SQRT(POWER(C11, 2)+POWER(D11, 2))/1.3</f>
        <v>2470.3090326008141</v>
      </c>
      <c r="F11" s="144" t="s">
        <v>203</v>
      </c>
      <c r="G11" s="143">
        <f>E11/(2*1600)</f>
        <v>0.7719715726877544</v>
      </c>
      <c r="H11" s="145"/>
    </row>
    <row r="12" spans="1:13" ht="18.75" x14ac:dyDescent="0.3">
      <c r="A12" s="146" t="s">
        <v>204</v>
      </c>
      <c r="B12" s="147"/>
      <c r="C12" s="148"/>
      <c r="D12" s="149">
        <v>-1800</v>
      </c>
      <c r="E12" s="147"/>
      <c r="F12" s="147"/>
      <c r="G12" s="147"/>
      <c r="H12" s="147"/>
      <c r="M12" s="128">
        <f>-'0,4'!Y17*'Ф-202-90-0,4'!D11/'0,4'!N71</f>
        <v>-1886.9897341673432</v>
      </c>
    </row>
    <row r="13" spans="1:13" ht="18.75" x14ac:dyDescent="0.3">
      <c r="A13" s="150" t="s">
        <v>205</v>
      </c>
      <c r="B13" s="151">
        <f>COS(ATAN(D13/E13))</f>
        <v>0.95948749250997667</v>
      </c>
      <c r="C13" s="151">
        <f>SUM(C11:C12)</f>
        <v>2086.7410384310897</v>
      </c>
      <c r="D13" s="152">
        <f>SUM(D11:D12)</f>
        <v>641.02703579776744</v>
      </c>
      <c r="E13" s="153">
        <f>SQRT(POWER(C13, 2)+POWER(D13, 2))</f>
        <v>2182.9804905440942</v>
      </c>
      <c r="F13" s="154"/>
      <c r="G13" s="155">
        <f>E13/(2*1600)</f>
        <v>0.68218140329502941</v>
      </c>
      <c r="H13" s="156">
        <f>E13/(1.73*0.4*2)</f>
        <v>1577.2980423006459</v>
      </c>
    </row>
    <row r="14" spans="1:13" ht="18.75" x14ac:dyDescent="0.3">
      <c r="A14" s="157" t="s">
        <v>206</v>
      </c>
      <c r="B14" s="158"/>
      <c r="C14" s="159">
        <f>'Потери цех тр-ров'!G9</f>
        <v>11.878629205525996</v>
      </c>
      <c r="D14" s="159">
        <f>'Потери цех тр-ров'!H9</f>
        <v>76.675660832151252</v>
      </c>
      <c r="E14" s="158"/>
      <c r="F14" s="158"/>
      <c r="G14" s="158"/>
      <c r="H14" s="158"/>
    </row>
    <row r="15" spans="1:13" ht="18.75" x14ac:dyDescent="0.3">
      <c r="A15" s="160" t="s">
        <v>207</v>
      </c>
      <c r="B15" s="161">
        <f>COS(ATAN(D15/E15))</f>
        <v>0.95142809985755505</v>
      </c>
      <c r="C15" s="162">
        <f>SUM(C13:C14)</f>
        <v>2098.6196676366158</v>
      </c>
      <c r="D15" s="163">
        <f>SUM(D13:D14)</f>
        <v>717.70269662991871</v>
      </c>
      <c r="E15" s="163">
        <f>SQRT(POWER(C15, 2)+POWER(D15, 2))</f>
        <v>2217.9498799885168</v>
      </c>
      <c r="F15" s="164"/>
      <c r="G15" s="165">
        <f>E15/(2*1600)</f>
        <v>0.69310933749641146</v>
      </c>
      <c r="H15" s="166">
        <f>E15/(1.73*10*2)</f>
        <v>64.102597687529382</v>
      </c>
    </row>
    <row r="16" spans="1:13" ht="18.75" x14ac:dyDescent="0.3">
      <c r="A16" s="167" t="s">
        <v>208</v>
      </c>
      <c r="B16" s="168"/>
      <c r="C16" s="168"/>
      <c r="D16" s="168"/>
      <c r="E16" s="168"/>
      <c r="F16" s="168"/>
      <c r="G16" s="168"/>
      <c r="H16" s="168"/>
    </row>
    <row r="17" spans="1:13" ht="18.75" x14ac:dyDescent="0.3">
      <c r="A17" s="116" t="s">
        <v>133</v>
      </c>
      <c r="C17" s="139">
        <f>'0,4'!M15</f>
        <v>846.49431352613465</v>
      </c>
      <c r="D17" s="139">
        <f>'0,4'!N15</f>
        <v>965.88305326796285</v>
      </c>
      <c r="E17" s="140">
        <f>'0,4'!O15</f>
        <v>1284.3218815477389</v>
      </c>
    </row>
    <row r="18" spans="1:13" ht="18.75" x14ac:dyDescent="0.3">
      <c r="A18" s="116" t="s">
        <v>161</v>
      </c>
      <c r="C18" s="139">
        <f>'0,4'!M36</f>
        <v>572.52635926077062</v>
      </c>
      <c r="D18" s="139">
        <f>'0,4'!N36</f>
        <v>889.76202984349948</v>
      </c>
      <c r="E18" s="140">
        <f>'0,4'!O36</f>
        <v>1058.0467389485293</v>
      </c>
    </row>
    <row r="19" spans="1:13" ht="18.75" x14ac:dyDescent="0.3">
      <c r="A19" s="116" t="s">
        <v>163</v>
      </c>
      <c r="C19" s="139">
        <f>'0,4'!M44</f>
        <v>413.82971076923076</v>
      </c>
      <c r="D19" s="139">
        <f>'0,4'!N44</f>
        <v>387.49871168712792</v>
      </c>
      <c r="E19" s="140">
        <f>'0,4'!O44</f>
        <v>566.93057870830103</v>
      </c>
    </row>
    <row r="20" spans="1:13" ht="18.75" x14ac:dyDescent="0.3">
      <c r="A20" s="116" t="s">
        <v>173</v>
      </c>
      <c r="C20" s="139">
        <f>'0,4'!M70</f>
        <v>1.1099999999999999</v>
      </c>
      <c r="D20" s="139">
        <f>'0,4'!N70</f>
        <v>0.239739441894737</v>
      </c>
      <c r="E20" s="140">
        <f>'0,4'!O70</f>
        <v>1.1355945579298976</v>
      </c>
    </row>
    <row r="21" spans="1:13" ht="18.75" x14ac:dyDescent="0.3">
      <c r="A21" s="116" t="s">
        <v>154</v>
      </c>
      <c r="C21" s="139">
        <f>'0,4'!M28</f>
        <v>291.1995</v>
      </c>
      <c r="D21" s="139">
        <f>'0,4'!N28</f>
        <v>271.54958857442864</v>
      </c>
      <c r="E21" s="140">
        <f>'0,4'!O28</f>
        <v>398.16620631991293</v>
      </c>
      <c r="M21" s="75">
        <f>-'0,4'!Y17*'Ф-202-90-0,4'!D22/'0,4'!N71</f>
        <v>-1944.1214354752949</v>
      </c>
    </row>
    <row r="22" spans="1:13" ht="18.75" x14ac:dyDescent="0.3">
      <c r="A22" s="142" t="s">
        <v>209</v>
      </c>
      <c r="B22" s="143">
        <f>COS(ATAN(D22/E22))</f>
        <v>0.70960056909024449</v>
      </c>
      <c r="C22" s="143">
        <f>SUM(C17:C21)</f>
        <v>2125.1598835561363</v>
      </c>
      <c r="D22" s="143">
        <f>SUM(D17:D21)</f>
        <v>2514.9331228149135</v>
      </c>
      <c r="E22" s="143">
        <f>SQRT(POWER(C22, 2)+POWER(D22, 2))/1.3</f>
        <v>2532.7667056309401</v>
      </c>
      <c r="F22" s="144" t="s">
        <v>203</v>
      </c>
      <c r="G22" s="143">
        <f>E22/(2*1600)</f>
        <v>0.7914895955096688</v>
      </c>
      <c r="H22" s="145"/>
    </row>
    <row r="23" spans="1:13" ht="25.15" customHeight="1" x14ac:dyDescent="0.3">
      <c r="A23" s="146" t="s">
        <v>204</v>
      </c>
      <c r="B23" s="147"/>
      <c r="C23" s="147"/>
      <c r="D23" s="169">
        <v>-1900</v>
      </c>
      <c r="E23" s="147"/>
      <c r="F23" s="147"/>
      <c r="G23" s="147"/>
      <c r="H23" s="147"/>
    </row>
    <row r="24" spans="1:13" ht="21" customHeight="1" x14ac:dyDescent="0.3">
      <c r="A24" s="150" t="s">
        <v>205</v>
      </c>
      <c r="B24" s="154"/>
      <c r="C24" s="151">
        <f>SUM(C22:C23)</f>
        <v>2125.1598835561363</v>
      </c>
      <c r="D24" s="151">
        <f>SUM(D22:D23)</f>
        <v>614.93312281491353</v>
      </c>
      <c r="E24" s="153">
        <f>SQRT(POWER(C24, 2)+POWER(D24, 2))</f>
        <v>2212.3397741330855</v>
      </c>
      <c r="F24" s="154"/>
      <c r="G24" s="155">
        <f>E24/(2*1600)</f>
        <v>0.69135617941658922</v>
      </c>
      <c r="H24" s="156">
        <f>E24/(1.73*0.4*2)</f>
        <v>1598.5113974950038</v>
      </c>
    </row>
    <row r="25" spans="1:13" ht="18" customHeight="1" x14ac:dyDescent="0.3">
      <c r="A25" s="157" t="s">
        <v>206</v>
      </c>
      <c r="B25" s="158"/>
      <c r="C25" s="159">
        <f>'Потери цех тр-ров'!G10</f>
        <v>12.086560552488802</v>
      </c>
      <c r="D25" s="170">
        <f>'Потери цех тр-ров'!H10</f>
        <v>77.885443214480304</v>
      </c>
      <c r="E25" s="158"/>
      <c r="F25" s="158"/>
      <c r="G25" s="158"/>
      <c r="H25" s="158"/>
    </row>
    <row r="26" spans="1:13" ht="18.75" x14ac:dyDescent="0.3">
      <c r="A26" s="160" t="s">
        <v>207</v>
      </c>
      <c r="B26" s="161">
        <f>COS(ATAN(D26/E26))</f>
        <v>0.9555976629563131</v>
      </c>
      <c r="C26" s="171">
        <f>SUM(C24:C25)</f>
        <v>2137.2464441086249</v>
      </c>
      <c r="D26" s="163">
        <f>SUM(D24:D25)</f>
        <v>692.81856602939388</v>
      </c>
      <c r="E26" s="163">
        <f>SQRT(POWER(C26, 2)+POWER(D26, 2))</f>
        <v>2246.7353934742709</v>
      </c>
      <c r="F26" s="164"/>
      <c r="G26" s="172">
        <f>E26/(2*1600)</f>
        <v>0.70210481046070972</v>
      </c>
      <c r="H26" s="166">
        <f>E26/(1.73*10*2)</f>
        <v>64.934548944343092</v>
      </c>
    </row>
    <row r="27" spans="1:13" ht="18.75" x14ac:dyDescent="0.3">
      <c r="A27" s="167" t="s">
        <v>210</v>
      </c>
      <c r="B27" s="168"/>
      <c r="C27" s="168"/>
      <c r="D27" s="168"/>
      <c r="E27" s="168"/>
      <c r="F27" s="168"/>
      <c r="G27" s="168"/>
      <c r="H27" s="168"/>
    </row>
    <row r="28" spans="1:13" ht="18.75" x14ac:dyDescent="0.3">
      <c r="A28" s="116" t="s">
        <v>160</v>
      </c>
      <c r="C28" s="139">
        <f>'0,4'!M32</f>
        <v>423.64139092627602</v>
      </c>
      <c r="D28" s="139">
        <f>'0,4'!N32</f>
        <v>613.88604285019574</v>
      </c>
      <c r="E28" s="140">
        <f>'0,4'!O32</f>
        <v>745.87405217786079</v>
      </c>
    </row>
    <row r="29" spans="1:13" ht="18.75" x14ac:dyDescent="0.3">
      <c r="A29" s="116" t="s">
        <v>168</v>
      </c>
      <c r="C29" s="139">
        <f>'0,4'!M57</f>
        <v>214.10820247933881</v>
      </c>
      <c r="D29" s="139">
        <f>'0,4'!N57</f>
        <v>188.54954897850905</v>
      </c>
      <c r="E29" s="140">
        <f>'0,4'!O57</f>
        <v>285.29503113256766</v>
      </c>
    </row>
    <row r="30" spans="1:13" ht="18.75" customHeight="1" x14ac:dyDescent="0.3">
      <c r="A30" s="116" t="s">
        <v>162</v>
      </c>
      <c r="C30" s="139">
        <f>'0,4'!M40</f>
        <v>440.09119999999996</v>
      </c>
      <c r="D30" s="139">
        <f>'0,4'!N40</f>
        <v>731.13084028283413</v>
      </c>
      <c r="E30" s="140">
        <f>'0,4'!O40</f>
        <v>853.36543750618534</v>
      </c>
      <c r="M30" s="128">
        <f>-'0,4'!Y17*'Ф-202-90-0,4'!D31/'0,4'!N71</f>
        <v>-1185.4944953988863</v>
      </c>
    </row>
    <row r="31" spans="1:13" ht="18.75" customHeight="1" x14ac:dyDescent="0.3">
      <c r="A31" s="142" t="s">
        <v>209</v>
      </c>
      <c r="B31" s="143">
        <f>COS(ATAN(D31/E31))</f>
        <v>0.68499398729832084</v>
      </c>
      <c r="C31" s="143">
        <f>SUM(C28:C30)</f>
        <v>1077.8407934056149</v>
      </c>
      <c r="D31" s="143">
        <f>SUM(D28:D30)</f>
        <v>1533.5664321115389</v>
      </c>
      <c r="E31" s="143">
        <f>SQRT(POWER(C31, 2)+POWER(D31, 2))/1.3</f>
        <v>1441.8854310346289</v>
      </c>
      <c r="F31" s="144" t="s">
        <v>211</v>
      </c>
      <c r="G31" s="143">
        <f>E31/(1*1600)</f>
        <v>0.90117839439664305</v>
      </c>
      <c r="H31" s="145"/>
    </row>
    <row r="32" spans="1:13" ht="18.600000000000001" customHeight="1" x14ac:dyDescent="0.3">
      <c r="A32" s="146" t="s">
        <v>204</v>
      </c>
      <c r="B32" s="147"/>
      <c r="C32" s="147"/>
      <c r="D32" s="169">
        <v>-1300</v>
      </c>
      <c r="E32" s="147"/>
      <c r="F32" s="147"/>
      <c r="G32" s="147"/>
      <c r="H32" s="147"/>
    </row>
    <row r="33" spans="1:16" ht="18.75" customHeight="1" x14ac:dyDescent="0.3">
      <c r="A33" s="150" t="s">
        <v>205</v>
      </c>
      <c r="B33" s="154"/>
      <c r="C33" s="151">
        <f>SUM(C31:C32)</f>
        <v>1077.8407934056149</v>
      </c>
      <c r="D33" s="151">
        <f>SUM(D31:D32)</f>
        <v>233.56643211153892</v>
      </c>
      <c r="E33" s="153">
        <f>SQRT(POWER(C33, 2)+POWER(D33, 2))</f>
        <v>1102.8572229162576</v>
      </c>
      <c r="F33" s="154"/>
      <c r="G33" s="155">
        <f>E33/(1*1600)</f>
        <v>0.68928576432266098</v>
      </c>
      <c r="H33" s="156">
        <f>E33/(1.73*0.4*2)</f>
        <v>796.86215528631317</v>
      </c>
      <c r="K33" s="128"/>
      <c r="L33" s="128"/>
    </row>
    <row r="34" spans="1:16" ht="18.75" customHeight="1" x14ac:dyDescent="0.3">
      <c r="A34" s="157" t="s">
        <v>206</v>
      </c>
      <c r="B34" s="158"/>
      <c r="C34" s="159">
        <f>'Потери цех тр-ров'!G11</f>
        <v>9.939395270814936</v>
      </c>
      <c r="D34" s="159">
        <f>'Потери цех тр-ров'!H11</f>
        <v>61.611027030195991</v>
      </c>
      <c r="E34" s="158"/>
      <c r="F34" s="158"/>
      <c r="G34" s="158"/>
      <c r="H34" s="158"/>
    </row>
    <row r="35" spans="1:16" ht="21.6" customHeight="1" x14ac:dyDescent="0.3">
      <c r="A35" s="160" t="s">
        <v>207</v>
      </c>
      <c r="B35" s="161">
        <f>COS(ATAN(D35/E35))</f>
        <v>0.96737646586368464</v>
      </c>
      <c r="C35" s="162">
        <f>SUM(C33:C34)</f>
        <v>1087.7801886764298</v>
      </c>
      <c r="D35" s="163">
        <f>SUM(D33:D34)</f>
        <v>295.17745914173491</v>
      </c>
      <c r="E35" s="163">
        <f>SQRT(POWER(C35, 2)+POWER(D35, 2))</f>
        <v>1127.1182153005514</v>
      </c>
      <c r="F35" s="164"/>
      <c r="G35" s="165">
        <f>E35/(1*1600)</f>
        <v>0.7044488845628446</v>
      </c>
      <c r="H35" s="166">
        <f>E35/(1.73*10*2)</f>
        <v>32.575670962443681</v>
      </c>
    </row>
    <row r="36" spans="1:16" ht="25.5" customHeight="1" x14ac:dyDescent="0.3">
      <c r="A36" s="167" t="s">
        <v>212</v>
      </c>
      <c r="B36" s="168"/>
      <c r="C36" s="168"/>
      <c r="D36" s="168"/>
      <c r="E36" s="168"/>
      <c r="F36" s="168"/>
      <c r="G36" s="168"/>
      <c r="H36" s="168"/>
    </row>
    <row r="37" spans="1:16" ht="17.25" customHeight="1" x14ac:dyDescent="0.3">
      <c r="A37" s="116" t="s">
        <v>148</v>
      </c>
      <c r="C37" s="139">
        <f>'0,4'!M24</f>
        <v>90.223527662105894</v>
      </c>
      <c r="D37" s="139">
        <f>'0,4'!N24</f>
        <v>74.322984123685742</v>
      </c>
      <c r="E37" s="140">
        <f>'0,4'!O24</f>
        <v>116.89393017964804</v>
      </c>
    </row>
    <row r="38" spans="1:16" ht="18.75" x14ac:dyDescent="0.25">
      <c r="A38" s="83" t="s">
        <v>122</v>
      </c>
      <c r="B38" s="83"/>
      <c r="C38" s="139">
        <f>'0,4'!M11</f>
        <v>650.9738023164108</v>
      </c>
      <c r="D38" s="139">
        <f>'0,4'!N11</f>
        <v>944.69001729071726</v>
      </c>
      <c r="E38" s="139">
        <f>'0,4'!O11</f>
        <v>1147.2602669277017</v>
      </c>
    </row>
    <row r="39" spans="1:16" ht="18.75" x14ac:dyDescent="0.3">
      <c r="A39" s="116" t="s">
        <v>170</v>
      </c>
      <c r="C39" s="139">
        <f>'0,4'!M61</f>
        <v>210.04640000000001</v>
      </c>
      <c r="D39" s="139">
        <f>'0,4'!N61</f>
        <v>184.01104904953257</v>
      </c>
      <c r="E39" s="140">
        <f>'0,4'!O61</f>
        <v>279.24819842797461</v>
      </c>
    </row>
    <row r="40" spans="1:16" ht="21.75" customHeight="1" x14ac:dyDescent="0.3">
      <c r="A40" s="116" t="s">
        <v>171</v>
      </c>
      <c r="C40" s="139">
        <f>'0,4'!M65</f>
        <v>1188.7949999999998</v>
      </c>
      <c r="D40" s="139">
        <f>'0,4'!N65</f>
        <v>586.54740912495674</v>
      </c>
      <c r="E40" s="140">
        <f>'0,4'!O65</f>
        <v>1325.621143153729</v>
      </c>
    </row>
    <row r="41" spans="1:16" ht="18.75" x14ac:dyDescent="0.3">
      <c r="A41" s="142" t="s">
        <v>209</v>
      </c>
      <c r="B41" s="143">
        <f>COS(ATAN(D41/E41))</f>
        <v>0.76799011795302041</v>
      </c>
      <c r="C41" s="143">
        <f>SUM(C37:C40)</f>
        <v>2140.0387299785166</v>
      </c>
      <c r="D41" s="143">
        <f>SUM(D37:D40)</f>
        <v>1789.5714595888921</v>
      </c>
      <c r="E41" s="143">
        <f>SQRT(POWER(C41, 2)+POWER(D41, 2))/1.3</f>
        <v>2145.91007366348</v>
      </c>
      <c r="F41" s="144" t="s">
        <v>203</v>
      </c>
      <c r="G41" s="143">
        <f>E41/(3*1250)</f>
        <v>0.57224268631026132</v>
      </c>
      <c r="H41" s="145"/>
      <c r="M41" s="75">
        <f>-'0,4'!Y17*'Ф-202-90-0,4'!D41/'0,4'!N71</f>
        <v>-1383.394334958474</v>
      </c>
    </row>
    <row r="42" spans="1:16" ht="18.75" x14ac:dyDescent="0.3">
      <c r="A42" s="146" t="s">
        <v>204</v>
      </c>
      <c r="B42" s="147"/>
      <c r="C42" s="147"/>
      <c r="D42" s="169">
        <v>-1100</v>
      </c>
      <c r="E42" s="147"/>
      <c r="F42" s="147"/>
      <c r="G42" s="147"/>
      <c r="H42" s="147"/>
    </row>
    <row r="43" spans="1:16" ht="18.75" x14ac:dyDescent="0.3">
      <c r="A43" s="150" t="s">
        <v>205</v>
      </c>
      <c r="B43" s="154"/>
      <c r="C43" s="151">
        <f>SUM(C41:C42)</f>
        <v>2140.0387299785166</v>
      </c>
      <c r="D43" s="151">
        <f>SUM(D41:D42)</f>
        <v>689.57145958889214</v>
      </c>
      <c r="E43" s="153">
        <f>SQRT(POWER(C43, 2)+POWER(D43, 2))</f>
        <v>2248.3937741613718</v>
      </c>
      <c r="F43" s="154"/>
      <c r="G43" s="155">
        <f>E43/(3*1250)</f>
        <v>0.59957167310969917</v>
      </c>
      <c r="H43" s="156">
        <f>E43/(1.73*0.4*2)</f>
        <v>1624.5619755501239</v>
      </c>
      <c r="P43" s="75" t="s">
        <v>213</v>
      </c>
    </row>
    <row r="44" spans="1:16" ht="17.25" customHeight="1" x14ac:dyDescent="0.3">
      <c r="A44" s="157" t="s">
        <v>206</v>
      </c>
      <c r="B44" s="158"/>
      <c r="C44" s="159">
        <f>'Потери цех тр-ров'!G12</f>
        <v>12.345706084066965</v>
      </c>
      <c r="D44" s="159">
        <f>'Потери цех тр-ров'!H12</f>
        <v>79.393199034571424</v>
      </c>
      <c r="E44" s="158"/>
      <c r="F44" s="158"/>
      <c r="G44" s="158"/>
      <c r="H44" s="158"/>
      <c r="N44" s="75">
        <v>-6300</v>
      </c>
      <c r="O44" s="75">
        <v>6421.89</v>
      </c>
      <c r="P44" s="75">
        <f>-N44/O44*100</f>
        <v>98.101960637756164</v>
      </c>
    </row>
    <row r="45" spans="1:16" ht="18.75" x14ac:dyDescent="0.3">
      <c r="A45" s="160" t="s">
        <v>207</v>
      </c>
      <c r="B45" s="161">
        <f>COS(ATAN(D45/E45))</f>
        <v>0.94779748156236676</v>
      </c>
      <c r="C45" s="162">
        <f>SUM(C43:C44)</f>
        <v>2152.3844360625835</v>
      </c>
      <c r="D45" s="163">
        <f>SUM(D43:D44)</f>
        <v>768.96465862346361</v>
      </c>
      <c r="E45" s="163">
        <f>SQRT(POWER(C45, 2)+POWER(D45, 2))</f>
        <v>2285.6214487128759</v>
      </c>
      <c r="F45" s="164"/>
      <c r="G45" s="172">
        <f>E45/(2*1600)</f>
        <v>0.71425670272277375</v>
      </c>
      <c r="H45" s="166">
        <f>E45/(1.73*10*2)</f>
        <v>66.058423373204505</v>
      </c>
    </row>
    <row r="46" spans="1:16" ht="18.75" customHeight="1" x14ac:dyDescent="0.3">
      <c r="A46" s="173" t="s">
        <v>214</v>
      </c>
      <c r="B46" s="174"/>
      <c r="C46" s="175">
        <f>C15+C26+C35+C45</f>
        <v>7476.0307364842547</v>
      </c>
      <c r="D46" s="175">
        <f>D15+D26+D35+D45</f>
        <v>2474.6633804245112</v>
      </c>
      <c r="E46" s="175">
        <f>SQRT(POWER(C46, 2)+POWER(D46, 2))</f>
        <v>7874.9599630265657</v>
      </c>
      <c r="F46" s="176"/>
      <c r="G46" s="173"/>
      <c r="H46" s="99"/>
      <c r="I46" s="75" t="s">
        <v>215</v>
      </c>
      <c r="J46" s="75" t="s">
        <v>216</v>
      </c>
      <c r="K46" s="75">
        <f>4*'Потери цех тр-ров'!G9</f>
        <v>47.514516822103985</v>
      </c>
      <c r="L46" s="75">
        <f>4*'Потери цех тр-ров'!H9</f>
        <v>306.70264332860501</v>
      </c>
    </row>
    <row r="47" spans="1:16" ht="18.75" customHeight="1" x14ac:dyDescent="0.25">
      <c r="A47" s="177"/>
      <c r="B47" s="177"/>
      <c r="C47" s="177"/>
      <c r="D47" s="177"/>
      <c r="E47" s="177"/>
      <c r="F47" s="177"/>
      <c r="G47" s="177"/>
      <c r="H47" s="177"/>
      <c r="I47" s="177"/>
    </row>
    <row r="48" spans="1:16" ht="18.75" customHeight="1" x14ac:dyDescent="0.25">
      <c r="A48" s="177"/>
      <c r="B48" s="177"/>
      <c r="C48" s="177"/>
      <c r="D48" s="177"/>
      <c r="E48" s="177"/>
      <c r="F48" s="177"/>
      <c r="G48" s="177"/>
      <c r="H48" s="177"/>
      <c r="I48" s="177"/>
    </row>
    <row r="49" spans="1:9" ht="18.75" customHeight="1" x14ac:dyDescent="0.3">
      <c r="A49" s="178"/>
      <c r="B49" s="179"/>
      <c r="C49" s="133"/>
      <c r="D49" s="133"/>
      <c r="E49" s="133"/>
      <c r="F49" s="133"/>
      <c r="G49" s="180"/>
      <c r="H49" s="181"/>
      <c r="I49" s="177"/>
    </row>
    <row r="50" spans="1:9" ht="18.75" customHeight="1" x14ac:dyDescent="0.3">
      <c r="A50" s="182"/>
      <c r="B50" s="179"/>
      <c r="C50" s="183"/>
      <c r="D50" s="183"/>
      <c r="E50" s="183"/>
      <c r="F50" s="133"/>
      <c r="G50" s="184"/>
      <c r="H50" s="181"/>
      <c r="I50" s="177"/>
    </row>
    <row r="51" spans="1:9" x14ac:dyDescent="0.25">
      <c r="I51" s="177"/>
    </row>
    <row r="52" spans="1:9" x14ac:dyDescent="0.25">
      <c r="I52" s="177"/>
    </row>
    <row r="53" spans="1:9" x14ac:dyDescent="0.25">
      <c r="I53" s="177"/>
    </row>
    <row r="54" spans="1:9" x14ac:dyDescent="0.25">
      <c r="I54" s="177"/>
    </row>
    <row r="55" spans="1:9" ht="18" customHeight="1" x14ac:dyDescent="0.25">
      <c r="I55" s="177"/>
    </row>
    <row r="56" spans="1:9" ht="18.75" customHeight="1" x14ac:dyDescent="0.25">
      <c r="I56" s="177"/>
    </row>
    <row r="57" spans="1:9" ht="18.75" customHeight="1" x14ac:dyDescent="0.25">
      <c r="I57" s="177"/>
    </row>
    <row r="58" spans="1:9" ht="18.75" customHeight="1" x14ac:dyDescent="0.25">
      <c r="I58" s="177"/>
    </row>
    <row r="59" spans="1:9" ht="19.5" customHeight="1" x14ac:dyDescent="0.25">
      <c r="I59" s="177"/>
    </row>
    <row r="60" spans="1:9" ht="18.75" customHeight="1" x14ac:dyDescent="0.25">
      <c r="I60" s="177"/>
    </row>
    <row r="61" spans="1:9" x14ac:dyDescent="0.25">
      <c r="I61" s="177"/>
    </row>
    <row r="62" spans="1:9" x14ac:dyDescent="0.25">
      <c r="I62" s="177"/>
    </row>
    <row r="63" spans="1:9" x14ac:dyDescent="0.25">
      <c r="I63" s="177"/>
    </row>
    <row r="64" spans="1:9" x14ac:dyDescent="0.25">
      <c r="I64" s="177"/>
    </row>
    <row r="65" spans="9:9" x14ac:dyDescent="0.25">
      <c r="I65" s="177"/>
    </row>
    <row r="66" spans="9:9" x14ac:dyDescent="0.25">
      <c r="I66" s="177"/>
    </row>
    <row r="67" spans="9:9" x14ac:dyDescent="0.25">
      <c r="I67" s="177"/>
    </row>
    <row r="68" spans="9:9" x14ac:dyDescent="0.25">
      <c r="I68" s="177"/>
    </row>
    <row r="69" spans="9:9" x14ac:dyDescent="0.25">
      <c r="I69" s="177"/>
    </row>
    <row r="70" spans="9:9" x14ac:dyDescent="0.25">
      <c r="I70" s="177"/>
    </row>
    <row r="71" spans="9:9" x14ac:dyDescent="0.25">
      <c r="I71" s="177"/>
    </row>
    <row r="72" spans="9:9" x14ac:dyDescent="0.25">
      <c r="I72" s="177"/>
    </row>
  </sheetData>
  <mergeCells count="7">
    <mergeCell ref="A2:H2"/>
    <mergeCell ref="A3:A5"/>
    <mergeCell ref="B3:B5"/>
    <mergeCell ref="C3:E3"/>
    <mergeCell ref="F3:F5"/>
    <mergeCell ref="G3:G5"/>
    <mergeCell ref="H3:H5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6"/>
  <sheetViews>
    <sheetView topLeftCell="A93" zoomScale="115" zoomScaleNormal="115" workbookViewId="0">
      <selection activeCell="D36" sqref="D36"/>
    </sheetView>
  </sheetViews>
  <sheetFormatPr defaultColWidth="9.140625" defaultRowHeight="15" x14ac:dyDescent="0.25"/>
  <cols>
    <col min="1" max="1" width="9.28515625" bestFit="1" customWidth="1"/>
    <col min="2" max="2" width="39" customWidth="1"/>
    <col min="3" max="3" width="10.140625" bestFit="1" customWidth="1"/>
    <col min="4" max="4" width="15.140625" customWidth="1"/>
    <col min="5" max="5" width="20.42578125" customWidth="1"/>
    <col min="6" max="6" width="13.140625" customWidth="1"/>
    <col min="7" max="7" width="21.42578125" customWidth="1"/>
    <col min="8" max="8" width="29.28515625" customWidth="1"/>
    <col min="9" max="9" width="12.7109375" bestFit="1" customWidth="1"/>
    <col min="10" max="10" width="13.42578125" customWidth="1"/>
    <col min="11" max="11" width="10.5703125" bestFit="1" customWidth="1"/>
    <col min="12" max="12" width="12.42578125" customWidth="1"/>
    <col min="13" max="13" width="16" customWidth="1"/>
    <col min="14" max="14" width="9.28515625" bestFit="1" customWidth="1"/>
    <col min="15" max="15" width="22.5703125" customWidth="1"/>
    <col min="16" max="16" width="21.7109375" customWidth="1"/>
    <col min="17" max="17" width="10.85546875" customWidth="1"/>
  </cols>
  <sheetData>
    <row r="1" spans="1:17" ht="15.75" x14ac:dyDescent="0.25">
      <c r="A1" s="580" t="s">
        <v>217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2"/>
    </row>
    <row r="2" spans="1:17" ht="15.75" x14ac:dyDescent="0.25">
      <c r="A2" s="583" t="s">
        <v>218</v>
      </c>
      <c r="B2" s="583" t="s">
        <v>191</v>
      </c>
      <c r="C2" s="583" t="s">
        <v>219</v>
      </c>
      <c r="D2" s="583" t="s">
        <v>220</v>
      </c>
      <c r="E2" s="583" t="s">
        <v>221</v>
      </c>
      <c r="F2" s="583" t="s">
        <v>222</v>
      </c>
      <c r="G2" s="583" t="s">
        <v>223</v>
      </c>
      <c r="H2" s="583" t="s">
        <v>224</v>
      </c>
      <c r="I2" s="583" t="s">
        <v>225</v>
      </c>
      <c r="J2" s="583" t="s">
        <v>226</v>
      </c>
      <c r="K2" s="583" t="s">
        <v>227</v>
      </c>
      <c r="L2" s="583" t="s">
        <v>228</v>
      </c>
      <c r="M2" s="583" t="s">
        <v>229</v>
      </c>
      <c r="N2" s="583" t="s">
        <v>230</v>
      </c>
      <c r="O2" s="583" t="s">
        <v>231</v>
      </c>
      <c r="P2" s="584"/>
      <c r="Q2" s="585"/>
    </row>
    <row r="3" spans="1:17" ht="15.75" x14ac:dyDescent="0.25">
      <c r="A3" s="586"/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185" t="s">
        <v>232</v>
      </c>
      <c r="P3" s="185" t="s">
        <v>233</v>
      </c>
      <c r="Q3" s="185" t="s">
        <v>234</v>
      </c>
    </row>
    <row r="4" spans="1:17" ht="15.75" x14ac:dyDescent="0.25">
      <c r="A4" s="8">
        <v>1</v>
      </c>
      <c r="B4" s="8" t="s">
        <v>235</v>
      </c>
      <c r="C4" s="8">
        <v>55</v>
      </c>
      <c r="D4" s="8">
        <v>0.38</v>
      </c>
      <c r="E4" s="8">
        <v>6.7</v>
      </c>
      <c r="F4" s="8">
        <v>90</v>
      </c>
      <c r="G4" s="8">
        <v>0.5</v>
      </c>
      <c r="H4" s="9">
        <f>ЦЕХ!E39</f>
        <v>0.21963154864709272</v>
      </c>
      <c r="I4" s="9">
        <f>'Ф-202-90-0,4'!E45/(1.73*0.38)/2</f>
        <v>1738.3795624527502</v>
      </c>
      <c r="J4" s="9">
        <f t="shared" ref="J4:J11" si="0">C4/(1.73*D4*G4*(F4/100))</f>
        <v>185.91758780380624</v>
      </c>
      <c r="K4" s="9">
        <f t="shared" ref="K4:K11" si="1">J4*E4</f>
        <v>1245.6478382855018</v>
      </c>
      <c r="L4" s="186">
        <f t="shared" ref="L4:L11" si="2">K4+(I4-H4*J4)</f>
        <v>2943.1940330081702</v>
      </c>
      <c r="M4" s="186">
        <f t="shared" ref="M4:M11" si="3">1.1*I4</f>
        <v>1912.2175186980253</v>
      </c>
      <c r="N4" s="186">
        <f t="shared" ref="N4:N11" si="4">1.25*L4</f>
        <v>3678.9925412602129</v>
      </c>
      <c r="O4" s="8" t="s">
        <v>236</v>
      </c>
      <c r="P4" s="8">
        <v>4000</v>
      </c>
      <c r="Q4" s="8">
        <v>5000</v>
      </c>
    </row>
    <row r="5" spans="1:17" ht="15.75" x14ac:dyDescent="0.25">
      <c r="A5" s="8">
        <v>2</v>
      </c>
      <c r="B5" s="8" t="s">
        <v>237</v>
      </c>
      <c r="C5" s="8">
        <v>55</v>
      </c>
      <c r="D5" s="8">
        <v>0.38</v>
      </c>
      <c r="E5" s="8">
        <v>6.7</v>
      </c>
      <c r="F5" s="8">
        <v>90</v>
      </c>
      <c r="G5" s="8">
        <v>0.5</v>
      </c>
      <c r="H5" s="9">
        <f>H4</f>
        <v>0.21963154864709272</v>
      </c>
      <c r="I5" s="9">
        <f>I4</f>
        <v>1738.3795624527502</v>
      </c>
      <c r="J5" s="9">
        <f t="shared" si="0"/>
        <v>185.91758780380624</v>
      </c>
      <c r="K5" s="9">
        <f t="shared" si="1"/>
        <v>1245.6478382855018</v>
      </c>
      <c r="L5" s="186">
        <f t="shared" si="2"/>
        <v>2943.1940330081702</v>
      </c>
      <c r="M5" s="186">
        <f t="shared" si="3"/>
        <v>1912.2175186980253</v>
      </c>
      <c r="N5" s="186">
        <f t="shared" si="4"/>
        <v>3678.9925412602129</v>
      </c>
      <c r="O5" s="8" t="s">
        <v>236</v>
      </c>
      <c r="P5" s="8">
        <v>4000</v>
      </c>
      <c r="Q5" s="8">
        <v>5000</v>
      </c>
    </row>
    <row r="6" spans="1:17" ht="15.75" x14ac:dyDescent="0.25">
      <c r="A6" s="8">
        <v>3</v>
      </c>
      <c r="B6" s="8" t="s">
        <v>238</v>
      </c>
      <c r="C6" s="8">
        <v>55</v>
      </c>
      <c r="D6" s="8">
        <v>0.38</v>
      </c>
      <c r="E6" s="8">
        <v>6.7</v>
      </c>
      <c r="F6" s="8">
        <v>90</v>
      </c>
      <c r="G6" s="8">
        <v>0.5</v>
      </c>
      <c r="H6" s="9">
        <f>H5</f>
        <v>0.21963154864709272</v>
      </c>
      <c r="I6" s="9">
        <f>I5/2</f>
        <v>869.18978122637509</v>
      </c>
      <c r="J6" s="9">
        <f t="shared" si="0"/>
        <v>185.91758780380624</v>
      </c>
      <c r="K6" s="9">
        <f t="shared" si="1"/>
        <v>1245.6478382855018</v>
      </c>
      <c r="L6" s="186">
        <f t="shared" si="2"/>
        <v>2074.0042517817951</v>
      </c>
      <c r="M6" s="186">
        <f t="shared" si="3"/>
        <v>956.10875934901264</v>
      </c>
      <c r="N6" s="186">
        <f t="shared" si="4"/>
        <v>2592.5053147272438</v>
      </c>
      <c r="O6" s="8" t="s">
        <v>239</v>
      </c>
      <c r="P6" s="8">
        <v>2900</v>
      </c>
      <c r="Q6" s="8">
        <v>3500</v>
      </c>
    </row>
    <row r="7" spans="1:17" ht="15.75" x14ac:dyDescent="0.25">
      <c r="A7" s="8">
        <v>4</v>
      </c>
      <c r="B7" s="8" t="s">
        <v>31</v>
      </c>
      <c r="C7" s="8">
        <v>20</v>
      </c>
      <c r="D7" s="8">
        <v>0.38</v>
      </c>
      <c r="E7" s="8">
        <v>6.7</v>
      </c>
      <c r="F7" s="8">
        <v>90</v>
      </c>
      <c r="G7" s="8">
        <v>0.65</v>
      </c>
      <c r="H7" s="9">
        <f>ЦЕХ!E12</f>
        <v>0.17</v>
      </c>
      <c r="I7" s="9">
        <f>ЦЕХ!P12</f>
        <v>91.797664007096415</v>
      </c>
      <c r="J7" s="9">
        <f t="shared" si="0"/>
        <v>52.004919665400344</v>
      </c>
      <c r="K7" s="9">
        <f t="shared" si="1"/>
        <v>348.43296175818233</v>
      </c>
      <c r="L7" s="186">
        <f t="shared" si="2"/>
        <v>431.38978942216067</v>
      </c>
      <c r="M7" s="186">
        <f t="shared" si="3"/>
        <v>100.97743040780607</v>
      </c>
      <c r="N7" s="186">
        <f t="shared" si="4"/>
        <v>539.2372367777009</v>
      </c>
      <c r="O7" s="8" t="s">
        <v>240</v>
      </c>
      <c r="P7" s="8">
        <v>80</v>
      </c>
      <c r="Q7" s="8" t="s">
        <v>241</v>
      </c>
    </row>
    <row r="8" spans="1:17" ht="15.75" x14ac:dyDescent="0.25">
      <c r="A8" s="8">
        <v>5</v>
      </c>
      <c r="B8" s="8" t="s">
        <v>36</v>
      </c>
      <c r="C8" s="8">
        <v>30</v>
      </c>
      <c r="D8" s="8">
        <v>0.38</v>
      </c>
      <c r="E8" s="8">
        <v>5</v>
      </c>
      <c r="F8" s="8">
        <v>80</v>
      </c>
      <c r="G8" s="8">
        <v>0.65</v>
      </c>
      <c r="H8" s="9">
        <f>ЦЕХ!E18</f>
        <v>0.12</v>
      </c>
      <c r="I8" s="9">
        <f>ЦЕХ!P18</f>
        <v>128.77324461238052</v>
      </c>
      <c r="J8" s="9">
        <f t="shared" si="0"/>
        <v>87.758301935363079</v>
      </c>
      <c r="K8" s="9">
        <f t="shared" si="1"/>
        <v>438.79150967681539</v>
      </c>
      <c r="L8" s="186">
        <f t="shared" si="2"/>
        <v>557.03375805695237</v>
      </c>
      <c r="M8" s="186">
        <f t="shared" si="3"/>
        <v>141.65056907361858</v>
      </c>
      <c r="N8" s="186">
        <f t="shared" si="4"/>
        <v>696.2921975711904</v>
      </c>
      <c r="O8" s="8" t="s">
        <v>240</v>
      </c>
      <c r="P8" s="8">
        <v>80</v>
      </c>
      <c r="Q8" s="8" t="s">
        <v>241</v>
      </c>
    </row>
    <row r="9" spans="1:17" ht="15.75" x14ac:dyDescent="0.25">
      <c r="A9" s="8">
        <v>6</v>
      </c>
      <c r="B9" s="8" t="s">
        <v>42</v>
      </c>
      <c r="C9" s="8">
        <v>12</v>
      </c>
      <c r="D9" s="8">
        <v>0.38</v>
      </c>
      <c r="E9" s="8">
        <v>5</v>
      </c>
      <c r="F9" s="8">
        <v>80</v>
      </c>
      <c r="G9" s="8">
        <v>0.65</v>
      </c>
      <c r="H9" s="9">
        <f>ЦЕХ!E22</f>
        <v>0.11999999999999998</v>
      </c>
      <c r="I9" s="9">
        <f>ЦЕХ!P22</f>
        <v>17.770233538138992</v>
      </c>
      <c r="J9" s="9">
        <f t="shared" si="0"/>
        <v>35.103320774145232</v>
      </c>
      <c r="K9" s="9">
        <f t="shared" si="1"/>
        <v>175.51660387072616</v>
      </c>
      <c r="L9" s="186">
        <f t="shared" si="2"/>
        <v>189.07443891596773</v>
      </c>
      <c r="M9" s="186">
        <f t="shared" si="3"/>
        <v>19.547256891952895</v>
      </c>
      <c r="N9" s="186">
        <f t="shared" si="4"/>
        <v>236.34304864495965</v>
      </c>
      <c r="O9" s="8" t="s">
        <v>240</v>
      </c>
      <c r="P9" s="8">
        <v>80</v>
      </c>
      <c r="Q9" s="8" t="s">
        <v>241</v>
      </c>
    </row>
    <row r="10" spans="1:17" ht="15.75" x14ac:dyDescent="0.25">
      <c r="A10" s="8">
        <v>7</v>
      </c>
      <c r="B10" s="8" t="s">
        <v>46</v>
      </c>
      <c r="C10" s="8">
        <v>7.5</v>
      </c>
      <c r="D10" s="8">
        <v>0.38</v>
      </c>
      <c r="E10" s="8">
        <v>5</v>
      </c>
      <c r="F10" s="8">
        <v>80</v>
      </c>
      <c r="G10" s="8">
        <v>0.65</v>
      </c>
      <c r="H10" s="9">
        <f>ЦЕХ!E27</f>
        <v>0.12</v>
      </c>
      <c r="I10" s="9">
        <f>ЦЕХ!P27</f>
        <v>100.88970508431473</v>
      </c>
      <c r="J10" s="9">
        <f t="shared" si="0"/>
        <v>21.93957548384077</v>
      </c>
      <c r="K10" s="9">
        <f t="shared" si="1"/>
        <v>109.69787741920385</v>
      </c>
      <c r="L10" s="186">
        <f t="shared" si="2"/>
        <v>207.95483344545767</v>
      </c>
      <c r="M10" s="186">
        <f t="shared" si="3"/>
        <v>110.97867559274621</v>
      </c>
      <c r="N10" s="186">
        <f t="shared" si="4"/>
        <v>259.94354180682205</v>
      </c>
      <c r="O10" s="8" t="s">
        <v>240</v>
      </c>
      <c r="P10" s="8">
        <v>25</v>
      </c>
      <c r="Q10" s="8" t="s">
        <v>241</v>
      </c>
    </row>
    <row r="11" spans="1:17" ht="15.75" x14ac:dyDescent="0.25">
      <c r="A11" s="8">
        <v>8</v>
      </c>
      <c r="B11" s="8" t="s">
        <v>51</v>
      </c>
      <c r="C11" s="8">
        <v>30</v>
      </c>
      <c r="D11" s="8">
        <v>0.38</v>
      </c>
      <c r="E11" s="8">
        <v>6.7</v>
      </c>
      <c r="F11" s="8">
        <v>90</v>
      </c>
      <c r="G11" s="8">
        <v>0.6</v>
      </c>
      <c r="H11" s="9">
        <f>ЦЕХ!E34</f>
        <v>1</v>
      </c>
      <c r="I11" s="9">
        <f>ЦЕХ!P34</f>
        <v>74.002169745780648</v>
      </c>
      <c r="J11" s="9">
        <f t="shared" si="0"/>
        <v>84.507994456275568</v>
      </c>
      <c r="K11" s="9">
        <f t="shared" si="1"/>
        <v>566.20356285704634</v>
      </c>
      <c r="L11" s="186">
        <f t="shared" si="2"/>
        <v>555.69773814655139</v>
      </c>
      <c r="M11" s="186">
        <f t="shared" si="3"/>
        <v>81.40238672035872</v>
      </c>
      <c r="N11" s="186">
        <f t="shared" si="4"/>
        <v>694.62217268318921</v>
      </c>
      <c r="O11" s="8" t="s">
        <v>240</v>
      </c>
      <c r="P11" s="8">
        <v>25</v>
      </c>
      <c r="Q11" s="8" t="s">
        <v>241</v>
      </c>
    </row>
    <row r="13" spans="1:17" ht="15.75" x14ac:dyDescent="0.25">
      <c r="A13" s="588"/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588"/>
      <c r="O13" s="588"/>
      <c r="P13" s="588"/>
      <c r="Q13" s="588"/>
    </row>
    <row r="14" spans="1:17" ht="15.75" x14ac:dyDescent="0.25">
      <c r="A14" s="438" t="s">
        <v>218</v>
      </c>
      <c r="B14" s="438" t="s">
        <v>191</v>
      </c>
      <c r="C14" s="438" t="s">
        <v>219</v>
      </c>
      <c r="D14" s="438" t="s">
        <v>221</v>
      </c>
      <c r="E14" s="438" t="s">
        <v>222</v>
      </c>
      <c r="F14" s="439" t="s">
        <v>242</v>
      </c>
      <c r="G14" s="440" t="s">
        <v>243</v>
      </c>
      <c r="H14" s="438" t="s">
        <v>244</v>
      </c>
      <c r="I14" s="438" t="s">
        <v>227</v>
      </c>
      <c r="J14" s="438" t="s">
        <v>245</v>
      </c>
      <c r="K14" s="438" t="s">
        <v>246</v>
      </c>
      <c r="L14" s="438" t="s">
        <v>247</v>
      </c>
      <c r="M14" s="438" t="s">
        <v>248</v>
      </c>
      <c r="N14" s="438" t="s">
        <v>230</v>
      </c>
      <c r="O14" s="438" t="s">
        <v>249</v>
      </c>
      <c r="P14" s="438" t="s">
        <v>250</v>
      </c>
      <c r="Q14" s="438" t="s">
        <v>251</v>
      </c>
    </row>
    <row r="15" spans="1:17" ht="15.75" x14ac:dyDescent="0.25">
      <c r="A15" s="441">
        <v>1</v>
      </c>
      <c r="B15" s="441" t="s">
        <v>32</v>
      </c>
      <c r="C15" s="441">
        <v>10</v>
      </c>
      <c r="D15" s="441">
        <v>5</v>
      </c>
      <c r="E15" s="441">
        <v>90</v>
      </c>
      <c r="F15" s="441">
        <v>0.65</v>
      </c>
      <c r="G15" s="441">
        <v>1.6</v>
      </c>
      <c r="H15" s="442">
        <f t="shared" ref="H15:H33" si="5">C15/(1.73*0.38*F15*(E15/100))</f>
        <v>26.002459832700172</v>
      </c>
      <c r="I15" s="442">
        <f t="shared" ref="I15:I33" si="6">H15*D15</f>
        <v>130.01229916350087</v>
      </c>
      <c r="J15" s="442">
        <f t="shared" ref="J15:J33" si="7">1.1*H15</f>
        <v>28.602705815970193</v>
      </c>
      <c r="K15" s="442">
        <f t="shared" ref="K15:K33" si="8">1.25*I15</f>
        <v>162.51537395437609</v>
      </c>
      <c r="L15" s="441" t="s">
        <v>252</v>
      </c>
      <c r="M15" s="441">
        <v>80</v>
      </c>
      <c r="N15" s="441">
        <v>320</v>
      </c>
      <c r="O15" s="441" t="s">
        <v>253</v>
      </c>
      <c r="P15" s="441" t="s">
        <v>254</v>
      </c>
      <c r="Q15" s="441">
        <v>200</v>
      </c>
    </row>
    <row r="16" spans="1:17" ht="15.75" x14ac:dyDescent="0.25">
      <c r="A16" s="441">
        <v>2</v>
      </c>
      <c r="B16" s="441" t="s">
        <v>33</v>
      </c>
      <c r="C16" s="441">
        <v>21</v>
      </c>
      <c r="D16" s="441">
        <v>5</v>
      </c>
      <c r="E16" s="441">
        <v>90</v>
      </c>
      <c r="F16" s="441">
        <v>0.65</v>
      </c>
      <c r="G16" s="441">
        <v>1.6</v>
      </c>
      <c r="H16" s="442">
        <f t="shared" si="5"/>
        <v>54.605165648670365</v>
      </c>
      <c r="I16" s="442">
        <f t="shared" si="6"/>
        <v>273.02582824335184</v>
      </c>
      <c r="J16" s="442">
        <f t="shared" si="7"/>
        <v>60.065682213537407</v>
      </c>
      <c r="K16" s="442">
        <f t="shared" si="8"/>
        <v>341.28228530418983</v>
      </c>
      <c r="L16" s="441" t="s">
        <v>252</v>
      </c>
      <c r="M16" s="441">
        <v>80</v>
      </c>
      <c r="N16" s="441">
        <v>320</v>
      </c>
      <c r="O16" s="441" t="s">
        <v>253</v>
      </c>
      <c r="P16" s="441" t="s">
        <v>255</v>
      </c>
      <c r="Q16" s="441">
        <v>350</v>
      </c>
    </row>
    <row r="17" spans="1:17" ht="15.75" x14ac:dyDescent="0.25">
      <c r="A17" s="441">
        <v>3</v>
      </c>
      <c r="B17" s="441" t="s">
        <v>34</v>
      </c>
      <c r="C17" s="441">
        <v>5</v>
      </c>
      <c r="D17" s="441">
        <v>5</v>
      </c>
      <c r="E17" s="441">
        <v>90</v>
      </c>
      <c r="F17" s="441">
        <v>0.5</v>
      </c>
      <c r="G17" s="441">
        <v>1.6</v>
      </c>
      <c r="H17" s="442">
        <f t="shared" si="5"/>
        <v>16.901598891255112</v>
      </c>
      <c r="I17" s="442">
        <f t="shared" si="6"/>
        <v>84.507994456275554</v>
      </c>
      <c r="J17" s="442">
        <f t="shared" si="7"/>
        <v>18.591758780380626</v>
      </c>
      <c r="K17" s="442">
        <f t="shared" si="8"/>
        <v>105.63499307034445</v>
      </c>
      <c r="L17" s="441" t="s">
        <v>252</v>
      </c>
      <c r="M17" s="441">
        <v>80</v>
      </c>
      <c r="N17" s="441">
        <v>320</v>
      </c>
      <c r="O17" s="441" t="s">
        <v>253</v>
      </c>
      <c r="P17" s="441" t="s">
        <v>256</v>
      </c>
      <c r="Q17" s="441">
        <v>125</v>
      </c>
    </row>
    <row r="18" spans="1:17" ht="15.75" x14ac:dyDescent="0.25">
      <c r="A18" s="441">
        <v>4</v>
      </c>
      <c r="B18" s="441" t="s">
        <v>37</v>
      </c>
      <c r="C18" s="441">
        <v>1.5</v>
      </c>
      <c r="D18" s="441">
        <v>6.7</v>
      </c>
      <c r="E18" s="441">
        <v>90</v>
      </c>
      <c r="F18" s="441">
        <v>0.5</v>
      </c>
      <c r="G18" s="441">
        <v>1.6</v>
      </c>
      <c r="H18" s="442">
        <f t="shared" si="5"/>
        <v>5.0704796673765342</v>
      </c>
      <c r="I18" s="442">
        <f t="shared" si="6"/>
        <v>33.97221377142278</v>
      </c>
      <c r="J18" s="442">
        <f t="shared" si="7"/>
        <v>5.5775276341141877</v>
      </c>
      <c r="K18" s="442">
        <f t="shared" si="8"/>
        <v>42.465267214278477</v>
      </c>
      <c r="L18" s="441" t="s">
        <v>257</v>
      </c>
      <c r="M18" s="441">
        <v>8</v>
      </c>
      <c r="N18" s="441">
        <v>80</v>
      </c>
      <c r="O18" s="441" t="s">
        <v>258</v>
      </c>
      <c r="P18" s="441" t="s">
        <v>259</v>
      </c>
      <c r="Q18" s="441">
        <v>50</v>
      </c>
    </row>
    <row r="19" spans="1:17" ht="15.75" x14ac:dyDescent="0.25">
      <c r="A19" s="441">
        <v>5</v>
      </c>
      <c r="B19" s="441" t="s">
        <v>38</v>
      </c>
      <c r="C19" s="441">
        <v>12</v>
      </c>
      <c r="D19" s="441">
        <v>6.7</v>
      </c>
      <c r="E19" s="441">
        <v>90</v>
      </c>
      <c r="F19" s="441">
        <v>0.5</v>
      </c>
      <c r="G19" s="441">
        <v>1.6</v>
      </c>
      <c r="H19" s="442">
        <f t="shared" si="5"/>
        <v>40.563837339012274</v>
      </c>
      <c r="I19" s="442">
        <f t="shared" si="6"/>
        <v>271.77771017138224</v>
      </c>
      <c r="J19" s="442">
        <f t="shared" si="7"/>
        <v>44.620221072913502</v>
      </c>
      <c r="K19" s="442">
        <f t="shared" si="8"/>
        <v>339.72213771422781</v>
      </c>
      <c r="L19" s="441" t="s">
        <v>252</v>
      </c>
      <c r="M19" s="441">
        <v>80</v>
      </c>
      <c r="N19" s="441">
        <v>320</v>
      </c>
      <c r="O19" s="441" t="s">
        <v>253</v>
      </c>
      <c r="P19" s="441" t="s">
        <v>255</v>
      </c>
      <c r="Q19" s="441">
        <v>350</v>
      </c>
    </row>
    <row r="20" spans="1:17" ht="15.75" x14ac:dyDescent="0.25">
      <c r="A20" s="441">
        <v>6</v>
      </c>
      <c r="B20" s="441" t="s">
        <v>39</v>
      </c>
      <c r="C20" s="441">
        <v>17.2</v>
      </c>
      <c r="D20" s="441">
        <v>5</v>
      </c>
      <c r="E20" s="441">
        <v>90</v>
      </c>
      <c r="F20" s="441">
        <v>0.5</v>
      </c>
      <c r="G20" s="441">
        <v>1.6</v>
      </c>
      <c r="H20" s="442">
        <f t="shared" si="5"/>
        <v>58.141500185917586</v>
      </c>
      <c r="I20" s="442">
        <f t="shared" si="6"/>
        <v>290.70750092958792</v>
      </c>
      <c r="J20" s="442">
        <f t="shared" si="7"/>
        <v>63.955650204509347</v>
      </c>
      <c r="K20" s="442">
        <f t="shared" si="8"/>
        <v>363.3843761619849</v>
      </c>
      <c r="L20" s="441" t="s">
        <v>252</v>
      </c>
      <c r="M20" s="441">
        <v>80</v>
      </c>
      <c r="N20" s="441">
        <v>320</v>
      </c>
      <c r="O20" s="441" t="s">
        <v>253</v>
      </c>
      <c r="P20" s="441" t="s">
        <v>255</v>
      </c>
      <c r="Q20" s="441">
        <v>350</v>
      </c>
    </row>
    <row r="21" spans="1:17" ht="15.75" x14ac:dyDescent="0.25">
      <c r="A21" s="441">
        <v>7</v>
      </c>
      <c r="B21" s="441" t="s">
        <v>260</v>
      </c>
      <c r="C21" s="441">
        <v>30</v>
      </c>
      <c r="D21" s="441">
        <v>6.7</v>
      </c>
      <c r="E21" s="441">
        <v>90</v>
      </c>
      <c r="F21" s="441">
        <v>0.5</v>
      </c>
      <c r="G21" s="441">
        <v>1.6</v>
      </c>
      <c r="H21" s="442">
        <f t="shared" si="5"/>
        <v>101.40959334753069</v>
      </c>
      <c r="I21" s="442">
        <f t="shared" si="6"/>
        <v>679.44427542845563</v>
      </c>
      <c r="J21" s="442">
        <f t="shared" si="7"/>
        <v>111.55055268228377</v>
      </c>
      <c r="K21" s="442">
        <f t="shared" si="8"/>
        <v>849.3053442855695</v>
      </c>
      <c r="L21" s="441" t="s">
        <v>261</v>
      </c>
      <c r="M21" s="441">
        <v>125</v>
      </c>
      <c r="N21" s="441">
        <v>1000</v>
      </c>
      <c r="O21" s="441" t="s">
        <v>262</v>
      </c>
      <c r="P21" s="441" t="s">
        <v>263</v>
      </c>
      <c r="Q21" s="441">
        <v>1000</v>
      </c>
    </row>
    <row r="22" spans="1:17" ht="15.75" x14ac:dyDescent="0.25">
      <c r="A22" s="441">
        <v>8</v>
      </c>
      <c r="B22" s="441" t="s">
        <v>43</v>
      </c>
      <c r="C22" s="441">
        <v>12</v>
      </c>
      <c r="D22" s="441">
        <v>5</v>
      </c>
      <c r="E22" s="441">
        <v>90</v>
      </c>
      <c r="F22" s="441">
        <v>0.5</v>
      </c>
      <c r="G22" s="441">
        <v>1.6</v>
      </c>
      <c r="H22" s="442">
        <f t="shared" si="5"/>
        <v>40.563837339012274</v>
      </c>
      <c r="I22" s="442">
        <f t="shared" si="6"/>
        <v>202.81918669506138</v>
      </c>
      <c r="J22" s="442">
        <f t="shared" si="7"/>
        <v>44.620221072913502</v>
      </c>
      <c r="K22" s="442">
        <f t="shared" si="8"/>
        <v>253.52398336882672</v>
      </c>
      <c r="L22" s="441" t="s">
        <v>252</v>
      </c>
      <c r="M22" s="441">
        <v>80</v>
      </c>
      <c r="N22" s="441">
        <v>320</v>
      </c>
      <c r="O22" s="441" t="s">
        <v>253</v>
      </c>
      <c r="P22" s="441" t="s">
        <v>264</v>
      </c>
      <c r="Q22" s="441">
        <v>250</v>
      </c>
    </row>
    <row r="23" spans="1:17" ht="15.75" x14ac:dyDescent="0.25">
      <c r="A23" s="441">
        <v>9</v>
      </c>
      <c r="B23" s="441" t="s">
        <v>44</v>
      </c>
      <c r="C23" s="441">
        <v>3.4</v>
      </c>
      <c r="D23" s="441">
        <v>5</v>
      </c>
      <c r="E23" s="441">
        <v>90</v>
      </c>
      <c r="F23" s="441">
        <v>0.5</v>
      </c>
      <c r="G23" s="441">
        <v>1.6</v>
      </c>
      <c r="H23" s="442">
        <f t="shared" si="5"/>
        <v>11.493087246053477</v>
      </c>
      <c r="I23" s="442">
        <f t="shared" si="6"/>
        <v>57.465436230267386</v>
      </c>
      <c r="J23" s="442">
        <f t="shared" si="7"/>
        <v>12.642395970658827</v>
      </c>
      <c r="K23" s="442">
        <f t="shared" si="8"/>
        <v>71.83179528783424</v>
      </c>
      <c r="L23" s="441" t="s">
        <v>252</v>
      </c>
      <c r="M23" s="441">
        <v>80</v>
      </c>
      <c r="N23" s="441">
        <v>320</v>
      </c>
      <c r="O23" s="441" t="s">
        <v>253</v>
      </c>
      <c r="P23" s="441" t="s">
        <v>265</v>
      </c>
      <c r="Q23" s="441">
        <v>100</v>
      </c>
    </row>
    <row r="24" spans="1:17" ht="15.75" x14ac:dyDescent="0.25">
      <c r="A24" s="441">
        <v>10</v>
      </c>
      <c r="B24" s="441" t="s">
        <v>47</v>
      </c>
      <c r="C24" s="441">
        <v>4.5</v>
      </c>
      <c r="D24" s="441">
        <v>5</v>
      </c>
      <c r="E24" s="441">
        <v>90</v>
      </c>
      <c r="F24" s="441">
        <v>0.5</v>
      </c>
      <c r="G24" s="441">
        <v>1.6</v>
      </c>
      <c r="H24" s="442">
        <f t="shared" si="5"/>
        <v>15.211439002129602</v>
      </c>
      <c r="I24" s="442">
        <f t="shared" si="6"/>
        <v>76.057195010648002</v>
      </c>
      <c r="J24" s="442">
        <f t="shared" si="7"/>
        <v>16.732582902342564</v>
      </c>
      <c r="K24" s="442">
        <f t="shared" si="8"/>
        <v>95.071493763310002</v>
      </c>
      <c r="L24" s="441" t="s">
        <v>252</v>
      </c>
      <c r="M24" s="441">
        <v>80</v>
      </c>
      <c r="N24" s="441">
        <v>320</v>
      </c>
      <c r="O24" s="441" t="s">
        <v>253</v>
      </c>
      <c r="P24" s="441" t="s">
        <v>256</v>
      </c>
      <c r="Q24" s="441">
        <v>125</v>
      </c>
    </row>
    <row r="25" spans="1:17" ht="15.75" x14ac:dyDescent="0.25">
      <c r="A25" s="441">
        <v>11</v>
      </c>
      <c r="B25" s="441" t="s">
        <v>48</v>
      </c>
      <c r="C25" s="441">
        <v>7.5</v>
      </c>
      <c r="D25" s="441">
        <v>5</v>
      </c>
      <c r="E25" s="441">
        <v>90</v>
      </c>
      <c r="F25" s="441">
        <v>0.5</v>
      </c>
      <c r="G25" s="441">
        <v>1.6</v>
      </c>
      <c r="H25" s="442">
        <f t="shared" si="5"/>
        <v>25.352398336882672</v>
      </c>
      <c r="I25" s="442">
        <f t="shared" si="6"/>
        <v>126.76199168441336</v>
      </c>
      <c r="J25" s="442">
        <f t="shared" si="7"/>
        <v>27.887638170570941</v>
      </c>
      <c r="K25" s="442">
        <f t="shared" si="8"/>
        <v>158.45248960551669</v>
      </c>
      <c r="L25" s="441" t="s">
        <v>252</v>
      </c>
      <c r="M25" s="441">
        <v>80</v>
      </c>
      <c r="N25" s="441">
        <v>320</v>
      </c>
      <c r="O25" s="441" t="s">
        <v>253</v>
      </c>
      <c r="P25" s="441" t="s">
        <v>254</v>
      </c>
      <c r="Q25" s="441">
        <v>200</v>
      </c>
    </row>
    <row r="26" spans="1:17" ht="15.75" x14ac:dyDescent="0.25">
      <c r="A26" s="441">
        <v>12</v>
      </c>
      <c r="B26" s="441" t="s">
        <v>49</v>
      </c>
      <c r="C26" s="441">
        <v>4</v>
      </c>
      <c r="D26" s="441">
        <v>5</v>
      </c>
      <c r="E26" s="441">
        <v>90</v>
      </c>
      <c r="F26" s="441">
        <v>0.5</v>
      </c>
      <c r="G26" s="441">
        <v>1.6</v>
      </c>
      <c r="H26" s="442">
        <f t="shared" si="5"/>
        <v>13.521279113004091</v>
      </c>
      <c r="I26" s="442">
        <f t="shared" si="6"/>
        <v>67.606395565020449</v>
      </c>
      <c r="J26" s="442">
        <f t="shared" si="7"/>
        <v>14.873407024304502</v>
      </c>
      <c r="K26" s="442">
        <f t="shared" si="8"/>
        <v>84.507994456275554</v>
      </c>
      <c r="L26" s="441" t="s">
        <v>252</v>
      </c>
      <c r="M26" s="441">
        <v>80</v>
      </c>
      <c r="N26" s="441">
        <v>320</v>
      </c>
      <c r="O26" s="441" t="s">
        <v>253</v>
      </c>
      <c r="P26" s="441" t="s">
        <v>265</v>
      </c>
      <c r="Q26" s="441">
        <v>100</v>
      </c>
    </row>
    <row r="27" spans="1:17" ht="15.75" x14ac:dyDescent="0.25">
      <c r="A27" s="441">
        <v>13</v>
      </c>
      <c r="B27" s="441" t="s">
        <v>52</v>
      </c>
      <c r="C27" s="441">
        <v>4.5</v>
      </c>
      <c r="D27" s="441">
        <v>6.7</v>
      </c>
      <c r="E27" s="441">
        <v>90</v>
      </c>
      <c r="F27" s="441">
        <v>0.5</v>
      </c>
      <c r="G27" s="441">
        <v>1.6</v>
      </c>
      <c r="H27" s="442">
        <f t="shared" si="5"/>
        <v>15.211439002129602</v>
      </c>
      <c r="I27" s="442">
        <f t="shared" si="6"/>
        <v>101.91664131426833</v>
      </c>
      <c r="J27" s="442">
        <f t="shared" si="7"/>
        <v>16.732582902342564</v>
      </c>
      <c r="K27" s="442">
        <f t="shared" si="8"/>
        <v>127.39580164283541</v>
      </c>
      <c r="L27" s="441" t="s">
        <v>252</v>
      </c>
      <c r="M27" s="441">
        <v>80</v>
      </c>
      <c r="N27" s="441">
        <v>320</v>
      </c>
      <c r="O27" s="441" t="s">
        <v>253</v>
      </c>
      <c r="P27" s="441" t="s">
        <v>266</v>
      </c>
      <c r="Q27" s="441">
        <v>160</v>
      </c>
    </row>
    <row r="28" spans="1:17" ht="15.75" x14ac:dyDescent="0.25">
      <c r="A28" s="441">
        <v>14</v>
      </c>
      <c r="B28" s="441" t="s">
        <v>53</v>
      </c>
      <c r="C28" s="441">
        <v>7.5</v>
      </c>
      <c r="D28" s="441">
        <v>6.7</v>
      </c>
      <c r="E28" s="441">
        <v>80</v>
      </c>
      <c r="F28" s="441">
        <v>0.5</v>
      </c>
      <c r="G28" s="441">
        <v>1.6</v>
      </c>
      <c r="H28" s="442">
        <f t="shared" si="5"/>
        <v>28.521448128993001</v>
      </c>
      <c r="I28" s="442">
        <f t="shared" si="6"/>
        <v>191.09370246425311</v>
      </c>
      <c r="J28" s="442">
        <f t="shared" si="7"/>
        <v>31.373592941892305</v>
      </c>
      <c r="K28" s="442">
        <f t="shared" si="8"/>
        <v>238.86712808031638</v>
      </c>
      <c r="L28" s="441" t="s">
        <v>252</v>
      </c>
      <c r="M28" s="441">
        <v>80</v>
      </c>
      <c r="N28" s="441">
        <v>320</v>
      </c>
      <c r="O28" s="441" t="s">
        <v>253</v>
      </c>
      <c r="P28" s="441" t="s">
        <v>264</v>
      </c>
      <c r="Q28" s="441">
        <v>250</v>
      </c>
    </row>
    <row r="29" spans="1:17" ht="15.75" x14ac:dyDescent="0.25">
      <c r="A29" s="441">
        <v>15</v>
      </c>
      <c r="B29" s="441" t="s">
        <v>54</v>
      </c>
      <c r="C29" s="441">
        <v>4</v>
      </c>
      <c r="D29" s="441">
        <v>6.7</v>
      </c>
      <c r="E29" s="441">
        <v>80</v>
      </c>
      <c r="F29" s="441">
        <v>0.5</v>
      </c>
      <c r="G29" s="441">
        <v>1.6</v>
      </c>
      <c r="H29" s="442">
        <f t="shared" si="5"/>
        <v>15.2114390021296</v>
      </c>
      <c r="I29" s="442">
        <f t="shared" si="6"/>
        <v>101.91664131426832</v>
      </c>
      <c r="J29" s="442">
        <f t="shared" si="7"/>
        <v>16.732582902342561</v>
      </c>
      <c r="K29" s="442">
        <f t="shared" si="8"/>
        <v>127.39580164283539</v>
      </c>
      <c r="L29" s="441" t="s">
        <v>252</v>
      </c>
      <c r="M29" s="441">
        <v>80</v>
      </c>
      <c r="N29" s="441">
        <v>320</v>
      </c>
      <c r="O29" s="441" t="s">
        <v>253</v>
      </c>
      <c r="P29" s="441" t="s">
        <v>266</v>
      </c>
      <c r="Q29" s="441">
        <v>160</v>
      </c>
    </row>
    <row r="30" spans="1:17" ht="15.75" x14ac:dyDescent="0.25">
      <c r="A30" s="441">
        <v>16</v>
      </c>
      <c r="B30" s="441" t="s">
        <v>267</v>
      </c>
      <c r="C30" s="441">
        <v>30</v>
      </c>
      <c r="D30" s="441">
        <v>5</v>
      </c>
      <c r="E30" s="441">
        <v>80</v>
      </c>
      <c r="F30" s="441">
        <v>0.5</v>
      </c>
      <c r="G30" s="441">
        <v>1.6</v>
      </c>
      <c r="H30" s="442">
        <f t="shared" si="5"/>
        <v>114.085792515972</v>
      </c>
      <c r="I30" s="442">
        <f t="shared" si="6"/>
        <v>570.42896257986001</v>
      </c>
      <c r="J30" s="442">
        <f t="shared" si="7"/>
        <v>125.49437176756922</v>
      </c>
      <c r="K30" s="442">
        <f t="shared" si="8"/>
        <v>713.03620322482504</v>
      </c>
      <c r="L30" s="441" t="s">
        <v>268</v>
      </c>
      <c r="M30" s="441">
        <v>250</v>
      </c>
      <c r="N30" s="441">
        <v>1280</v>
      </c>
      <c r="O30" s="441" t="s">
        <v>269</v>
      </c>
      <c r="P30" s="441" t="s">
        <v>270</v>
      </c>
      <c r="Q30" s="441">
        <v>800</v>
      </c>
    </row>
    <row r="31" spans="1:17" ht="15.75" x14ac:dyDescent="0.25">
      <c r="A31" s="441">
        <v>17</v>
      </c>
      <c r="B31" s="441" t="s">
        <v>56</v>
      </c>
      <c r="C31" s="441">
        <v>5</v>
      </c>
      <c r="D31" s="441">
        <v>6.7</v>
      </c>
      <c r="E31" s="441">
        <v>90</v>
      </c>
      <c r="F31" s="441">
        <v>0.5</v>
      </c>
      <c r="G31" s="441">
        <v>1.6</v>
      </c>
      <c r="H31" s="442">
        <f t="shared" si="5"/>
        <v>16.901598891255112</v>
      </c>
      <c r="I31" s="442">
        <f t="shared" si="6"/>
        <v>113.24071257140926</v>
      </c>
      <c r="J31" s="442">
        <f t="shared" si="7"/>
        <v>18.591758780380626</v>
      </c>
      <c r="K31" s="442">
        <f t="shared" si="8"/>
        <v>141.55089071426158</v>
      </c>
      <c r="L31" s="441" t="s">
        <v>252</v>
      </c>
      <c r="M31" s="441">
        <v>80</v>
      </c>
      <c r="N31" s="441">
        <v>320</v>
      </c>
      <c r="O31" s="441" t="s">
        <v>253</v>
      </c>
      <c r="P31" s="441" t="s">
        <v>266</v>
      </c>
      <c r="Q31" s="441">
        <v>160</v>
      </c>
    </row>
    <row r="32" spans="1:17" ht="15.75" x14ac:dyDescent="0.25">
      <c r="A32" s="441">
        <v>18</v>
      </c>
      <c r="B32" s="441" t="s">
        <v>271</v>
      </c>
      <c r="C32" s="441">
        <v>55</v>
      </c>
      <c r="D32" s="441">
        <v>5</v>
      </c>
      <c r="E32" s="441">
        <v>90</v>
      </c>
      <c r="F32" s="441">
        <v>0.8</v>
      </c>
      <c r="G32" s="441">
        <v>1.6</v>
      </c>
      <c r="H32" s="442">
        <f t="shared" si="5"/>
        <v>116.19849237737888</v>
      </c>
      <c r="I32" s="442">
        <f t="shared" si="6"/>
        <v>580.99246188689438</v>
      </c>
      <c r="J32" s="442">
        <f t="shared" si="7"/>
        <v>127.81834161511678</v>
      </c>
      <c r="K32" s="442">
        <f t="shared" si="8"/>
        <v>726.240577358618</v>
      </c>
      <c r="L32" s="441" t="s">
        <v>268</v>
      </c>
      <c r="M32" s="441">
        <v>250</v>
      </c>
      <c r="N32" s="441">
        <v>1280</v>
      </c>
      <c r="O32" s="441" t="s">
        <v>269</v>
      </c>
      <c r="P32" s="441" t="s">
        <v>270</v>
      </c>
      <c r="Q32" s="441">
        <v>800</v>
      </c>
    </row>
    <row r="33" spans="1:17" ht="15.75" x14ac:dyDescent="0.25">
      <c r="A33" s="441">
        <v>19</v>
      </c>
      <c r="B33" s="441" t="s">
        <v>59</v>
      </c>
      <c r="C33" s="441">
        <v>8.4</v>
      </c>
      <c r="D33" s="441">
        <v>5</v>
      </c>
      <c r="E33" s="441">
        <v>80</v>
      </c>
      <c r="F33" s="441">
        <v>0.6</v>
      </c>
      <c r="G33" s="441">
        <v>1.6</v>
      </c>
      <c r="H33" s="442">
        <f t="shared" si="5"/>
        <v>26.620018253726805</v>
      </c>
      <c r="I33" s="442">
        <f t="shared" si="6"/>
        <v>133.10009126863403</v>
      </c>
      <c r="J33" s="442">
        <f t="shared" si="7"/>
        <v>29.282020079099489</v>
      </c>
      <c r="K33" s="442">
        <f t="shared" si="8"/>
        <v>166.37511408579255</v>
      </c>
      <c r="L33" s="441" t="s">
        <v>252</v>
      </c>
      <c r="M33" s="441">
        <v>80</v>
      </c>
      <c r="N33" s="441">
        <v>320</v>
      </c>
      <c r="O33" s="441" t="s">
        <v>253</v>
      </c>
      <c r="P33" s="441" t="s">
        <v>254</v>
      </c>
      <c r="Q33" s="441">
        <v>200</v>
      </c>
    </row>
    <row r="35" spans="1:17" x14ac:dyDescent="0.25">
      <c r="A35" s="587"/>
      <c r="B35" s="587"/>
      <c r="C35" s="587"/>
      <c r="D35" s="587"/>
      <c r="E35" s="587"/>
      <c r="F35" s="587"/>
      <c r="G35" s="587"/>
      <c r="H35" s="587"/>
      <c r="I35" s="587"/>
    </row>
    <row r="36" spans="1:17" ht="15.75" x14ac:dyDescent="0.25">
      <c r="A36" s="438" t="s">
        <v>218</v>
      </c>
      <c r="B36" s="438" t="s">
        <v>191</v>
      </c>
      <c r="C36" s="438" t="s">
        <v>272</v>
      </c>
      <c r="D36" s="438" t="s">
        <v>273</v>
      </c>
      <c r="E36" s="438" t="s">
        <v>274</v>
      </c>
      <c r="F36" s="438" t="s">
        <v>221</v>
      </c>
      <c r="G36" s="438" t="s">
        <v>275</v>
      </c>
      <c r="H36" s="438" t="s">
        <v>276</v>
      </c>
      <c r="I36" s="438" t="s">
        <v>8</v>
      </c>
    </row>
    <row r="37" spans="1:17" ht="15.75" x14ac:dyDescent="0.25">
      <c r="A37" s="441">
        <v>1</v>
      </c>
      <c r="B37" s="441" t="s">
        <v>32</v>
      </c>
      <c r="C37" s="442">
        <f t="shared" ref="C37:C55" si="9">J15</f>
        <v>28.602705815970193</v>
      </c>
      <c r="D37" s="441">
        <v>1</v>
      </c>
      <c r="E37" s="441">
        <v>1</v>
      </c>
      <c r="F37" s="441">
        <v>1</v>
      </c>
      <c r="G37" s="441">
        <v>80</v>
      </c>
      <c r="H37" s="441" t="s">
        <v>277</v>
      </c>
      <c r="I37" s="441">
        <v>127</v>
      </c>
    </row>
    <row r="38" spans="1:17" ht="15.75" x14ac:dyDescent="0.25">
      <c r="A38" s="441">
        <v>2</v>
      </c>
      <c r="B38" s="441" t="s">
        <v>33</v>
      </c>
      <c r="C38" s="442">
        <f t="shared" si="9"/>
        <v>60.065682213537407</v>
      </c>
      <c r="D38" s="441">
        <v>1</v>
      </c>
      <c r="E38" s="441">
        <v>1</v>
      </c>
      <c r="F38" s="441">
        <v>1</v>
      </c>
      <c r="G38" s="441">
        <v>80</v>
      </c>
      <c r="H38" s="441" t="s">
        <v>277</v>
      </c>
      <c r="I38" s="441">
        <v>127</v>
      </c>
    </row>
    <row r="39" spans="1:17" ht="15.75" x14ac:dyDescent="0.25">
      <c r="A39" s="441">
        <v>3</v>
      </c>
      <c r="B39" s="441" t="s">
        <v>34</v>
      </c>
      <c r="C39" s="442">
        <f t="shared" si="9"/>
        <v>18.591758780380626</v>
      </c>
      <c r="D39" s="441">
        <v>1</v>
      </c>
      <c r="E39" s="441">
        <v>1</v>
      </c>
      <c r="F39" s="441">
        <v>1</v>
      </c>
      <c r="G39" s="441">
        <v>80</v>
      </c>
      <c r="H39" s="441" t="s">
        <v>277</v>
      </c>
      <c r="I39" s="441">
        <v>127</v>
      </c>
    </row>
    <row r="40" spans="1:17" ht="15.75" x14ac:dyDescent="0.25">
      <c r="A40" s="441">
        <v>4</v>
      </c>
      <c r="B40" s="441" t="s">
        <v>37</v>
      </c>
      <c r="C40" s="442">
        <f t="shared" si="9"/>
        <v>5.5775276341141877</v>
      </c>
      <c r="D40" s="441">
        <v>1</v>
      </c>
      <c r="E40" s="441">
        <v>1</v>
      </c>
      <c r="F40" s="441">
        <v>1</v>
      </c>
      <c r="G40" s="441">
        <v>8</v>
      </c>
      <c r="H40" s="441" t="s">
        <v>278</v>
      </c>
      <c r="I40" s="441">
        <v>27</v>
      </c>
    </row>
    <row r="41" spans="1:17" ht="15.75" x14ac:dyDescent="0.25">
      <c r="A41" s="441">
        <v>5</v>
      </c>
      <c r="B41" s="441" t="s">
        <v>38</v>
      </c>
      <c r="C41" s="442">
        <f t="shared" si="9"/>
        <v>44.620221072913502</v>
      </c>
      <c r="D41" s="441">
        <v>1</v>
      </c>
      <c r="E41" s="441">
        <v>1</v>
      </c>
      <c r="F41" s="441">
        <v>1</v>
      </c>
      <c r="G41" s="441">
        <v>80</v>
      </c>
      <c r="H41" s="441" t="s">
        <v>277</v>
      </c>
      <c r="I41" s="441">
        <v>127</v>
      </c>
    </row>
    <row r="42" spans="1:17" ht="15.75" x14ac:dyDescent="0.25">
      <c r="A42" s="441">
        <v>6</v>
      </c>
      <c r="B42" s="441" t="s">
        <v>39</v>
      </c>
      <c r="C42" s="442">
        <f t="shared" si="9"/>
        <v>63.955650204509347</v>
      </c>
      <c r="D42" s="441">
        <v>1</v>
      </c>
      <c r="E42" s="441">
        <v>1</v>
      </c>
      <c r="F42" s="441">
        <v>1</v>
      </c>
      <c r="G42" s="441">
        <v>80</v>
      </c>
      <c r="H42" s="441" t="s">
        <v>277</v>
      </c>
      <c r="I42" s="441">
        <v>127</v>
      </c>
    </row>
    <row r="43" spans="1:17" ht="15.75" x14ac:dyDescent="0.25">
      <c r="A43" s="441">
        <v>7</v>
      </c>
      <c r="B43" s="441" t="s">
        <v>260</v>
      </c>
      <c r="C43" s="442">
        <f t="shared" si="9"/>
        <v>111.55055268228377</v>
      </c>
      <c r="D43" s="441">
        <v>1</v>
      </c>
      <c r="E43" s="441">
        <v>1</v>
      </c>
      <c r="F43" s="441">
        <v>1</v>
      </c>
      <c r="G43" s="441">
        <v>125</v>
      </c>
      <c r="H43" s="441" t="s">
        <v>279</v>
      </c>
      <c r="I43" s="441">
        <v>280</v>
      </c>
    </row>
    <row r="44" spans="1:17" ht="15.75" x14ac:dyDescent="0.25">
      <c r="A44" s="441">
        <v>8</v>
      </c>
      <c r="B44" s="441" t="s">
        <v>43</v>
      </c>
      <c r="C44" s="442">
        <f t="shared" si="9"/>
        <v>44.620221072913502</v>
      </c>
      <c r="D44" s="441">
        <v>1</v>
      </c>
      <c r="E44" s="441">
        <v>1</v>
      </c>
      <c r="F44" s="441">
        <v>1</v>
      </c>
      <c r="G44" s="441">
        <v>80</v>
      </c>
      <c r="H44" s="441" t="s">
        <v>277</v>
      </c>
      <c r="I44" s="441">
        <v>127</v>
      </c>
    </row>
    <row r="45" spans="1:17" ht="15.75" x14ac:dyDescent="0.25">
      <c r="A45" s="441">
        <v>9</v>
      </c>
      <c r="B45" s="441" t="s">
        <v>44</v>
      </c>
      <c r="C45" s="442">
        <f t="shared" si="9"/>
        <v>12.642395970658827</v>
      </c>
      <c r="D45" s="441">
        <v>1</v>
      </c>
      <c r="E45" s="441">
        <v>1</v>
      </c>
      <c r="F45" s="441">
        <v>1</v>
      </c>
      <c r="G45" s="441">
        <v>80</v>
      </c>
      <c r="H45" s="441" t="s">
        <v>277</v>
      </c>
      <c r="I45" s="441">
        <v>127</v>
      </c>
    </row>
    <row r="46" spans="1:17" ht="15.75" x14ac:dyDescent="0.25">
      <c r="A46" s="441">
        <v>10</v>
      </c>
      <c r="B46" s="441" t="s">
        <v>47</v>
      </c>
      <c r="C46" s="442">
        <f t="shared" si="9"/>
        <v>16.732582902342564</v>
      </c>
      <c r="D46" s="441">
        <v>1</v>
      </c>
      <c r="E46" s="441">
        <v>1</v>
      </c>
      <c r="F46" s="441">
        <v>1</v>
      </c>
      <c r="G46" s="441">
        <v>80</v>
      </c>
      <c r="H46" s="441" t="s">
        <v>277</v>
      </c>
      <c r="I46" s="441">
        <v>127</v>
      </c>
    </row>
    <row r="47" spans="1:17" ht="15.75" x14ac:dyDescent="0.25">
      <c r="A47" s="441">
        <v>11</v>
      </c>
      <c r="B47" s="441" t="s">
        <v>48</v>
      </c>
      <c r="C47" s="442">
        <f t="shared" si="9"/>
        <v>27.887638170570941</v>
      </c>
      <c r="D47" s="441">
        <v>1</v>
      </c>
      <c r="E47" s="441">
        <v>1</v>
      </c>
      <c r="F47" s="441">
        <v>1</v>
      </c>
      <c r="G47" s="441">
        <v>80</v>
      </c>
      <c r="H47" s="441" t="s">
        <v>277</v>
      </c>
      <c r="I47" s="441">
        <v>127</v>
      </c>
    </row>
    <row r="48" spans="1:17" ht="15.75" x14ac:dyDescent="0.25">
      <c r="A48" s="441">
        <v>12</v>
      </c>
      <c r="B48" s="441" t="s">
        <v>49</v>
      </c>
      <c r="C48" s="442">
        <f t="shared" si="9"/>
        <v>14.873407024304502</v>
      </c>
      <c r="D48" s="441">
        <v>1</v>
      </c>
      <c r="E48" s="441">
        <v>1</v>
      </c>
      <c r="F48" s="441">
        <v>1</v>
      </c>
      <c r="G48" s="441">
        <v>80</v>
      </c>
      <c r="H48" s="441" t="s">
        <v>277</v>
      </c>
      <c r="I48" s="441">
        <v>127</v>
      </c>
    </row>
    <row r="49" spans="1:11" ht="15.75" x14ac:dyDescent="0.25">
      <c r="A49" s="441">
        <v>13</v>
      </c>
      <c r="B49" s="441" t="s">
        <v>52</v>
      </c>
      <c r="C49" s="442">
        <f t="shared" si="9"/>
        <v>16.732582902342564</v>
      </c>
      <c r="D49" s="441">
        <v>1</v>
      </c>
      <c r="E49" s="441">
        <v>1</v>
      </c>
      <c r="F49" s="441">
        <v>1</v>
      </c>
      <c r="G49" s="441">
        <v>80</v>
      </c>
      <c r="H49" s="441" t="s">
        <v>277</v>
      </c>
      <c r="I49" s="441">
        <v>127</v>
      </c>
    </row>
    <row r="50" spans="1:11" ht="15.75" x14ac:dyDescent="0.25">
      <c r="A50" s="441">
        <v>14</v>
      </c>
      <c r="B50" s="441" t="s">
        <v>53</v>
      </c>
      <c r="C50" s="442">
        <f t="shared" si="9"/>
        <v>31.373592941892305</v>
      </c>
      <c r="D50" s="441">
        <v>1</v>
      </c>
      <c r="E50" s="441">
        <v>1</v>
      </c>
      <c r="F50" s="441">
        <v>1</v>
      </c>
      <c r="G50" s="441">
        <v>80</v>
      </c>
      <c r="H50" s="441" t="s">
        <v>277</v>
      </c>
      <c r="I50" s="441">
        <v>127</v>
      </c>
    </row>
    <row r="51" spans="1:11" ht="15.75" x14ac:dyDescent="0.25">
      <c r="A51" s="441">
        <v>15</v>
      </c>
      <c r="B51" s="441" t="s">
        <v>54</v>
      </c>
      <c r="C51" s="442">
        <f t="shared" si="9"/>
        <v>16.732582902342561</v>
      </c>
      <c r="D51" s="441">
        <v>1</v>
      </c>
      <c r="E51" s="441">
        <v>1</v>
      </c>
      <c r="F51" s="441">
        <v>1</v>
      </c>
      <c r="G51" s="441">
        <v>80</v>
      </c>
      <c r="H51" s="441" t="s">
        <v>277</v>
      </c>
      <c r="I51" s="441">
        <v>127</v>
      </c>
    </row>
    <row r="52" spans="1:11" ht="15.75" x14ac:dyDescent="0.25">
      <c r="A52" s="441">
        <v>16</v>
      </c>
      <c r="B52" s="441" t="s">
        <v>267</v>
      </c>
      <c r="C52" s="442">
        <f t="shared" si="9"/>
        <v>125.49437176756922</v>
      </c>
      <c r="D52" s="441">
        <v>1</v>
      </c>
      <c r="E52" s="441">
        <v>1</v>
      </c>
      <c r="F52" s="441">
        <v>1</v>
      </c>
      <c r="G52" s="441">
        <v>250</v>
      </c>
      <c r="H52" s="441" t="s">
        <v>279</v>
      </c>
      <c r="I52" s="441">
        <v>280</v>
      </c>
    </row>
    <row r="53" spans="1:11" ht="15.75" x14ac:dyDescent="0.25">
      <c r="A53" s="441">
        <v>17</v>
      </c>
      <c r="B53" s="441" t="s">
        <v>56</v>
      </c>
      <c r="C53" s="442">
        <f t="shared" si="9"/>
        <v>18.591758780380626</v>
      </c>
      <c r="D53" s="441">
        <v>1</v>
      </c>
      <c r="E53" s="441">
        <v>1</v>
      </c>
      <c r="F53" s="441">
        <v>1</v>
      </c>
      <c r="G53" s="441">
        <v>80</v>
      </c>
      <c r="H53" s="441" t="s">
        <v>277</v>
      </c>
      <c r="I53" s="441">
        <v>127</v>
      </c>
    </row>
    <row r="54" spans="1:11" ht="15.75" x14ac:dyDescent="0.25">
      <c r="A54" s="441">
        <v>18</v>
      </c>
      <c r="B54" s="441" t="s">
        <v>271</v>
      </c>
      <c r="C54" s="442">
        <f t="shared" si="9"/>
        <v>127.81834161511678</v>
      </c>
      <c r="D54" s="441">
        <v>1</v>
      </c>
      <c r="E54" s="441">
        <v>1</v>
      </c>
      <c r="F54" s="441">
        <v>1</v>
      </c>
      <c r="G54" s="441">
        <v>250</v>
      </c>
      <c r="H54" s="441" t="s">
        <v>279</v>
      </c>
      <c r="I54" s="441">
        <v>280</v>
      </c>
    </row>
    <row r="55" spans="1:11" ht="15.75" x14ac:dyDescent="0.25">
      <c r="A55" s="441">
        <v>19</v>
      </c>
      <c r="B55" s="441" t="s">
        <v>59</v>
      </c>
      <c r="C55" s="442">
        <f t="shared" si="9"/>
        <v>29.282020079099489</v>
      </c>
      <c r="D55" s="441">
        <v>1</v>
      </c>
      <c r="E55" s="441">
        <v>1</v>
      </c>
      <c r="F55" s="441">
        <v>1</v>
      </c>
      <c r="G55" s="441">
        <v>80</v>
      </c>
      <c r="H55" s="441" t="s">
        <v>277</v>
      </c>
      <c r="I55" s="441">
        <v>127</v>
      </c>
    </row>
    <row r="57" spans="1:11" x14ac:dyDescent="0.25">
      <c r="B57" s="587"/>
      <c r="C57" s="587"/>
      <c r="D57" s="587"/>
      <c r="E57" s="587"/>
      <c r="F57" s="587"/>
      <c r="G57" s="587"/>
      <c r="H57" s="587"/>
      <c r="I57" s="587"/>
      <c r="J57" s="587"/>
      <c r="K57" s="587"/>
    </row>
    <row r="58" spans="1:11" ht="15.75" x14ac:dyDescent="0.25">
      <c r="B58" s="438" t="s">
        <v>280</v>
      </c>
      <c r="C58" s="438" t="s">
        <v>281</v>
      </c>
      <c r="D58" s="438" t="s">
        <v>282</v>
      </c>
      <c r="E58" s="438" t="s">
        <v>283</v>
      </c>
      <c r="F58" s="438" t="s">
        <v>284</v>
      </c>
      <c r="G58" s="438" t="s">
        <v>285</v>
      </c>
      <c r="H58" s="438" t="s">
        <v>286</v>
      </c>
      <c r="I58" s="438" t="s">
        <v>287</v>
      </c>
      <c r="J58" s="438" t="s">
        <v>288</v>
      </c>
      <c r="K58" s="438" t="s">
        <v>8</v>
      </c>
    </row>
    <row r="59" spans="1:11" ht="15.75" x14ac:dyDescent="0.25">
      <c r="B59" s="441" t="s">
        <v>289</v>
      </c>
      <c r="C59" s="441">
        <v>12</v>
      </c>
      <c r="D59" s="441">
        <v>184</v>
      </c>
      <c r="E59" s="441">
        <f>C59*D59</f>
        <v>2208</v>
      </c>
      <c r="F59" s="441">
        <f>E59/220</f>
        <v>10.036363636363637</v>
      </c>
      <c r="G59" s="441">
        <f>F59*1.1</f>
        <v>11.040000000000001</v>
      </c>
      <c r="H59" s="441" t="s">
        <v>290</v>
      </c>
      <c r="I59" s="441">
        <v>25</v>
      </c>
      <c r="J59" s="441" t="s">
        <v>291</v>
      </c>
      <c r="K59" s="441">
        <v>27</v>
      </c>
    </row>
    <row r="60" spans="1:11" ht="15.75" x14ac:dyDescent="0.25">
      <c r="B60" s="441" t="s">
        <v>292</v>
      </c>
      <c r="C60" s="441">
        <v>4</v>
      </c>
      <c r="D60" s="441">
        <v>60</v>
      </c>
      <c r="E60" s="441">
        <f>C60*D60</f>
        <v>240</v>
      </c>
      <c r="F60" s="441">
        <f>E60/220</f>
        <v>1.0909090909090908</v>
      </c>
      <c r="G60" s="441">
        <f>F60*1.1</f>
        <v>1.2</v>
      </c>
      <c r="H60" s="441" t="s">
        <v>290</v>
      </c>
      <c r="I60" s="441">
        <v>25</v>
      </c>
      <c r="J60" s="441" t="s">
        <v>291</v>
      </c>
      <c r="K60" s="441">
        <v>27</v>
      </c>
    </row>
    <row r="61" spans="1:11" ht="15.75" x14ac:dyDescent="0.25">
      <c r="B61" s="441" t="s">
        <v>293</v>
      </c>
      <c r="C61" s="441">
        <v>2</v>
      </c>
      <c r="D61" s="441">
        <v>80</v>
      </c>
      <c r="E61" s="441">
        <f>C61*D61</f>
        <v>160</v>
      </c>
      <c r="F61" s="441">
        <f>E61/220</f>
        <v>0.72727272727272729</v>
      </c>
      <c r="G61" s="441">
        <f>F61*1.1</f>
        <v>0.8</v>
      </c>
      <c r="H61" s="441" t="s">
        <v>290</v>
      </c>
      <c r="I61" s="441">
        <v>25</v>
      </c>
      <c r="J61" s="441" t="s">
        <v>291</v>
      </c>
      <c r="K61" s="441">
        <v>27</v>
      </c>
    </row>
    <row r="62" spans="1:11" ht="15.75" x14ac:dyDescent="0.25">
      <c r="B62" s="441" t="s">
        <v>294</v>
      </c>
      <c r="C62" s="441">
        <f>SUM(C59:C61)</f>
        <v>18</v>
      </c>
      <c r="D62" s="441">
        <f>SUM(D59:D61)</f>
        <v>324</v>
      </c>
      <c r="E62" s="441">
        <f>C62*D62</f>
        <v>5832</v>
      </c>
      <c r="F62" s="441">
        <f>E62/220</f>
        <v>26.509090909090908</v>
      </c>
      <c r="G62" s="441">
        <f>F62*1.1</f>
        <v>29.16</v>
      </c>
      <c r="H62" s="441" t="s">
        <v>295</v>
      </c>
      <c r="I62" s="441">
        <v>40</v>
      </c>
      <c r="J62" s="441" t="s">
        <v>296</v>
      </c>
      <c r="K62" s="441">
        <v>58</v>
      </c>
    </row>
    <row r="63" spans="1:11" ht="15.75" x14ac:dyDescent="0.25">
      <c r="B63" s="438" t="s">
        <v>297</v>
      </c>
      <c r="C63" s="438" t="s">
        <v>281</v>
      </c>
      <c r="D63" s="438" t="s">
        <v>282</v>
      </c>
      <c r="E63" s="438" t="s">
        <v>298</v>
      </c>
      <c r="F63" s="438" t="s">
        <v>299</v>
      </c>
      <c r="G63" s="438" t="s">
        <v>285</v>
      </c>
      <c r="H63" s="438" t="s">
        <v>286</v>
      </c>
      <c r="I63" s="438" t="s">
        <v>287</v>
      </c>
      <c r="J63" s="438" t="s">
        <v>288</v>
      </c>
      <c r="K63" s="438" t="s">
        <v>8</v>
      </c>
    </row>
    <row r="64" spans="1:11" ht="15.75" x14ac:dyDescent="0.25">
      <c r="B64" s="441" t="s">
        <v>292</v>
      </c>
      <c r="C64" s="441">
        <v>3</v>
      </c>
      <c r="D64" s="441">
        <v>45</v>
      </c>
      <c r="E64" s="441">
        <f>C64*D64</f>
        <v>135</v>
      </c>
      <c r="F64" s="441">
        <f>E64/220</f>
        <v>0.61363636363636365</v>
      </c>
      <c r="G64" s="441">
        <f>F64*1.1</f>
        <v>0.67500000000000004</v>
      </c>
      <c r="H64" s="441" t="s">
        <v>290</v>
      </c>
      <c r="I64" s="441">
        <v>25</v>
      </c>
      <c r="J64" s="441" t="s">
        <v>291</v>
      </c>
      <c r="K64" s="441">
        <v>27</v>
      </c>
    </row>
    <row r="65" spans="2:11" ht="15.75" x14ac:dyDescent="0.25">
      <c r="B65" s="441" t="s">
        <v>293</v>
      </c>
      <c r="C65" s="441">
        <v>2</v>
      </c>
      <c r="D65" s="441">
        <v>22</v>
      </c>
      <c r="E65" s="441">
        <f>C65*D65</f>
        <v>44</v>
      </c>
      <c r="F65" s="441">
        <f>E65/220</f>
        <v>0.2</v>
      </c>
      <c r="G65" s="441">
        <f>F65*1.1</f>
        <v>0.22000000000000003</v>
      </c>
      <c r="H65" s="441" t="s">
        <v>290</v>
      </c>
      <c r="I65" s="441">
        <v>25</v>
      </c>
      <c r="J65" s="441" t="s">
        <v>291</v>
      </c>
      <c r="K65" s="441">
        <v>27</v>
      </c>
    </row>
    <row r="66" spans="2:11" ht="15.75" x14ac:dyDescent="0.25">
      <c r="B66" s="441" t="s">
        <v>300</v>
      </c>
      <c r="C66" s="441">
        <f>SUM(C64:C65)</f>
        <v>5</v>
      </c>
      <c r="D66" s="441">
        <f>SUM(D64:D65)</f>
        <v>67</v>
      </c>
      <c r="E66" s="441">
        <f>C66*D66</f>
        <v>335</v>
      </c>
      <c r="F66" s="441">
        <f>E66/220</f>
        <v>1.5227272727272727</v>
      </c>
      <c r="G66" s="441">
        <f>F66*1.1</f>
        <v>1.675</v>
      </c>
      <c r="H66" s="441" t="s">
        <v>290</v>
      </c>
      <c r="I66" s="441">
        <v>25</v>
      </c>
      <c r="J66" s="441" t="s">
        <v>291</v>
      </c>
      <c r="K66" s="441">
        <v>27</v>
      </c>
    </row>
    <row r="67" spans="2:11" ht="15.75" x14ac:dyDescent="0.25">
      <c r="B67" s="438" t="s">
        <v>757</v>
      </c>
      <c r="C67" s="438" t="s">
        <v>281</v>
      </c>
      <c r="D67" s="438" t="s">
        <v>282</v>
      </c>
      <c r="E67" s="438" t="s">
        <v>298</v>
      </c>
      <c r="F67" s="438" t="s">
        <v>299</v>
      </c>
      <c r="G67" s="438" t="s">
        <v>285</v>
      </c>
      <c r="H67" s="438" t="s">
        <v>286</v>
      </c>
      <c r="I67" s="438" t="s">
        <v>287</v>
      </c>
      <c r="J67" s="438" t="s">
        <v>288</v>
      </c>
      <c r="K67" s="438" t="s">
        <v>8</v>
      </c>
    </row>
    <row r="68" spans="2:11" ht="15.75" x14ac:dyDescent="0.25">
      <c r="B68" s="441" t="s">
        <v>289</v>
      </c>
      <c r="C68" s="441">
        <v>3</v>
      </c>
      <c r="D68" s="441">
        <v>184</v>
      </c>
      <c r="E68" s="441">
        <f>C68*D68</f>
        <v>552</v>
      </c>
      <c r="F68" s="441">
        <f>E68/220</f>
        <v>2.5090909090909093</v>
      </c>
      <c r="G68" s="441">
        <f>F68*1.1</f>
        <v>2.7600000000000002</v>
      </c>
      <c r="H68" s="441" t="s">
        <v>290</v>
      </c>
      <c r="I68" s="441">
        <v>25</v>
      </c>
      <c r="J68" s="441" t="s">
        <v>291</v>
      </c>
      <c r="K68" s="441">
        <v>27</v>
      </c>
    </row>
    <row r="69" spans="2:11" ht="15.75" x14ac:dyDescent="0.25">
      <c r="B69" s="441" t="s">
        <v>289</v>
      </c>
      <c r="C69" s="441">
        <v>3</v>
      </c>
      <c r="D69" s="441">
        <v>184</v>
      </c>
      <c r="E69" s="441">
        <f>C69*D69</f>
        <v>552</v>
      </c>
      <c r="F69" s="441">
        <f>E69/220</f>
        <v>2.5090909090909093</v>
      </c>
      <c r="G69" s="441">
        <f>F69*1.1</f>
        <v>2.7600000000000002</v>
      </c>
      <c r="H69" s="441" t="s">
        <v>290</v>
      </c>
      <c r="I69" s="441">
        <v>25</v>
      </c>
      <c r="J69" s="441" t="s">
        <v>291</v>
      </c>
      <c r="K69" s="441">
        <v>27</v>
      </c>
    </row>
    <row r="70" spans="2:11" ht="15.75" x14ac:dyDescent="0.25">
      <c r="B70" s="441" t="s">
        <v>289</v>
      </c>
      <c r="C70" s="441">
        <v>3</v>
      </c>
      <c r="D70" s="441">
        <v>184</v>
      </c>
      <c r="E70" s="441">
        <f>C70*D70</f>
        <v>552</v>
      </c>
      <c r="F70" s="441">
        <f>E70/220</f>
        <v>2.5090909090909093</v>
      </c>
      <c r="G70" s="441">
        <f>F70*1.1</f>
        <v>2.7600000000000002</v>
      </c>
      <c r="H70" s="441" t="s">
        <v>290</v>
      </c>
      <c r="I70" s="441">
        <v>25</v>
      </c>
      <c r="J70" s="441" t="s">
        <v>291</v>
      </c>
      <c r="K70" s="441">
        <v>27</v>
      </c>
    </row>
    <row r="71" spans="2:11" ht="15.75" x14ac:dyDescent="0.25">
      <c r="B71" s="441" t="s">
        <v>289</v>
      </c>
      <c r="C71" s="441">
        <v>3</v>
      </c>
      <c r="D71" s="441">
        <v>184</v>
      </c>
      <c r="E71" s="441">
        <f>C71*D71</f>
        <v>552</v>
      </c>
      <c r="F71" s="441">
        <f>E71/220</f>
        <v>2.5090909090909093</v>
      </c>
      <c r="G71" s="441">
        <f>F71*1.1</f>
        <v>2.7600000000000002</v>
      </c>
      <c r="H71" s="441" t="s">
        <v>290</v>
      </c>
      <c r="I71" s="441">
        <v>25</v>
      </c>
      <c r="J71" s="441" t="s">
        <v>291</v>
      </c>
      <c r="K71" s="441">
        <v>27</v>
      </c>
    </row>
    <row r="72" spans="2:11" ht="15.75" x14ac:dyDescent="0.25">
      <c r="B72" s="441" t="s">
        <v>758</v>
      </c>
      <c r="C72" s="441">
        <f>SUM(C68:C71)</f>
        <v>12</v>
      </c>
      <c r="D72" s="441">
        <f>SUM(D68:D71)</f>
        <v>736</v>
      </c>
      <c r="E72" s="441">
        <f>C72*D72</f>
        <v>8832</v>
      </c>
      <c r="F72" s="441">
        <f>E72/220</f>
        <v>40.145454545454548</v>
      </c>
      <c r="G72" s="441">
        <f>F72*1.1</f>
        <v>44.160000000000004</v>
      </c>
      <c r="H72" s="441" t="s">
        <v>290</v>
      </c>
      <c r="I72" s="441">
        <v>25</v>
      </c>
      <c r="J72" s="441" t="s">
        <v>291</v>
      </c>
      <c r="K72" s="441">
        <v>27</v>
      </c>
    </row>
    <row r="89" spans="2:24" ht="15.75" x14ac:dyDescent="0.25">
      <c r="B89" s="453" t="s">
        <v>218</v>
      </c>
      <c r="C89" s="574" t="s">
        <v>191</v>
      </c>
      <c r="D89" s="574"/>
      <c r="E89" s="450" t="s">
        <v>728</v>
      </c>
      <c r="F89" s="452" t="s">
        <v>729</v>
      </c>
      <c r="G89" s="452" t="s">
        <v>730</v>
      </c>
      <c r="H89" s="452" t="s">
        <v>731</v>
      </c>
      <c r="I89" s="450" t="s">
        <v>732</v>
      </c>
      <c r="J89" s="450" t="s">
        <v>733</v>
      </c>
      <c r="K89" s="450" t="s">
        <v>734</v>
      </c>
      <c r="L89" s="575" t="s">
        <v>735</v>
      </c>
      <c r="M89" s="575"/>
      <c r="N89" s="575"/>
      <c r="O89" s="448" t="s">
        <v>736</v>
      </c>
      <c r="P89" s="446"/>
      <c r="Q89" s="446"/>
      <c r="R89" s="445"/>
      <c r="S89" s="456"/>
      <c r="T89" s="456"/>
      <c r="U89" s="456"/>
      <c r="V89" s="456"/>
      <c r="W89" s="451"/>
      <c r="X89" s="451"/>
    </row>
    <row r="90" spans="2:24" ht="15.75" x14ac:dyDescent="0.25">
      <c r="B90" s="452">
        <v>1</v>
      </c>
      <c r="C90" s="573" t="s">
        <v>31</v>
      </c>
      <c r="D90" s="573"/>
      <c r="E90" s="455">
        <f>ЦЕХ!P12</f>
        <v>91.797664007096415</v>
      </c>
      <c r="F90" s="449">
        <v>1.3</v>
      </c>
      <c r="G90" s="449">
        <v>1</v>
      </c>
      <c r="H90" s="449">
        <v>1</v>
      </c>
      <c r="I90" s="478">
        <f>E90/(F90*G90*H90)</f>
        <v>70.613587697766476</v>
      </c>
      <c r="J90" s="455">
        <v>1.4</v>
      </c>
      <c r="K90" s="478">
        <f>E90/J90</f>
        <v>65.569760005068872</v>
      </c>
      <c r="L90" s="576" t="s">
        <v>756</v>
      </c>
      <c r="M90" s="576"/>
      <c r="N90" s="576"/>
      <c r="O90" s="447">
        <v>158</v>
      </c>
      <c r="P90" s="446"/>
      <c r="Q90" s="446"/>
      <c r="R90" s="444"/>
      <c r="S90" s="456"/>
      <c r="T90" s="456"/>
      <c r="U90" s="456"/>
      <c r="V90" s="456"/>
      <c r="W90" s="451"/>
      <c r="X90" s="451"/>
    </row>
    <row r="91" spans="2:24" ht="15.75" x14ac:dyDescent="0.25">
      <c r="B91" s="452">
        <v>2</v>
      </c>
      <c r="C91" s="573" t="s">
        <v>36</v>
      </c>
      <c r="D91" s="573"/>
      <c r="E91" s="455">
        <f>ЦЕХ!P18</f>
        <v>128.77324461238052</v>
      </c>
      <c r="F91" s="449">
        <v>1.3</v>
      </c>
      <c r="G91" s="449">
        <v>1</v>
      </c>
      <c r="H91" s="449">
        <v>0.9</v>
      </c>
      <c r="I91" s="478">
        <f t="shared" ref="I91:I94" si="10">E91/(F91*G91*H91)</f>
        <v>110.06260223280385</v>
      </c>
      <c r="J91" s="455">
        <v>1.4</v>
      </c>
      <c r="K91" s="478">
        <f t="shared" ref="K91:K94" si="11">E91/J91</f>
        <v>91.980889008843235</v>
      </c>
      <c r="L91" s="576" t="s">
        <v>756</v>
      </c>
      <c r="M91" s="576"/>
      <c r="N91" s="576"/>
      <c r="O91" s="447">
        <v>158</v>
      </c>
      <c r="P91" s="446"/>
      <c r="Q91" s="446"/>
      <c r="R91" s="443"/>
      <c r="S91" s="456"/>
      <c r="T91" s="456"/>
      <c r="U91" s="456"/>
      <c r="V91" s="456"/>
      <c r="W91" s="451"/>
      <c r="X91" s="451"/>
    </row>
    <row r="92" spans="2:24" ht="15.75" x14ac:dyDescent="0.25">
      <c r="B92" s="452">
        <v>3</v>
      </c>
      <c r="C92" s="573" t="s">
        <v>42</v>
      </c>
      <c r="D92" s="573"/>
      <c r="E92" s="455">
        <f>ЦЕХ!P22</f>
        <v>17.770233538138992</v>
      </c>
      <c r="F92" s="449">
        <v>1.3</v>
      </c>
      <c r="G92" s="449">
        <v>1</v>
      </c>
      <c r="H92" s="449">
        <v>0.85</v>
      </c>
      <c r="I92" s="478">
        <f t="shared" si="10"/>
        <v>16.081659310533023</v>
      </c>
      <c r="J92" s="455">
        <v>1.4</v>
      </c>
      <c r="K92" s="478">
        <f t="shared" si="11"/>
        <v>12.693023955813567</v>
      </c>
      <c r="L92" s="576" t="s">
        <v>756</v>
      </c>
      <c r="M92" s="576"/>
      <c r="N92" s="576"/>
      <c r="O92" s="447">
        <v>158</v>
      </c>
      <c r="P92" s="446"/>
      <c r="Q92" s="446"/>
      <c r="R92" s="443"/>
      <c r="S92" s="456"/>
      <c r="T92" s="456"/>
      <c r="U92" s="456"/>
      <c r="V92" s="456"/>
      <c r="W92" s="451"/>
      <c r="X92" s="451"/>
    </row>
    <row r="93" spans="2:24" ht="15.75" x14ac:dyDescent="0.25">
      <c r="B93" s="452">
        <v>4</v>
      </c>
      <c r="C93" s="573" t="s">
        <v>46</v>
      </c>
      <c r="D93" s="573"/>
      <c r="E93" s="455">
        <f>ЦЕХ!P27</f>
        <v>100.88970508431473</v>
      </c>
      <c r="F93" s="449">
        <v>1.3</v>
      </c>
      <c r="G93" s="449">
        <v>1</v>
      </c>
      <c r="H93" s="449">
        <v>0.9</v>
      </c>
      <c r="I93" s="478">
        <f t="shared" si="10"/>
        <v>86.230517166080958</v>
      </c>
      <c r="J93" s="455">
        <v>1.4</v>
      </c>
      <c r="K93" s="478">
        <f t="shared" si="11"/>
        <v>72.064075060224809</v>
      </c>
      <c r="L93" s="576" t="s">
        <v>756</v>
      </c>
      <c r="M93" s="576"/>
      <c r="N93" s="576"/>
      <c r="O93" s="447">
        <v>158</v>
      </c>
      <c r="P93" s="446"/>
      <c r="Q93" s="446"/>
      <c r="R93" s="444"/>
      <c r="S93" s="456"/>
      <c r="T93" s="456"/>
      <c r="U93" s="456"/>
      <c r="V93" s="456"/>
      <c r="W93" s="451"/>
      <c r="X93" s="451"/>
    </row>
    <row r="94" spans="2:24" ht="15.75" x14ac:dyDescent="0.25">
      <c r="B94" s="452">
        <v>5</v>
      </c>
      <c r="C94" s="573" t="s">
        <v>51</v>
      </c>
      <c r="D94" s="573"/>
      <c r="E94" s="455">
        <f>ЦЕХ!P34</f>
        <v>74.002169745780648</v>
      </c>
      <c r="F94" s="449">
        <v>1.3</v>
      </c>
      <c r="G94" s="449">
        <v>1</v>
      </c>
      <c r="H94" s="449">
        <v>0.9</v>
      </c>
      <c r="I94" s="478">
        <f t="shared" si="10"/>
        <v>63.249717731436441</v>
      </c>
      <c r="J94" s="455">
        <v>1.4</v>
      </c>
      <c r="K94" s="478">
        <f t="shared" si="11"/>
        <v>52.858692675557606</v>
      </c>
      <c r="L94" s="576" t="s">
        <v>756</v>
      </c>
      <c r="M94" s="576"/>
      <c r="N94" s="576"/>
      <c r="O94" s="447">
        <v>158</v>
      </c>
      <c r="P94" s="446"/>
      <c r="Q94" s="446"/>
      <c r="R94" s="444"/>
      <c r="S94" s="456"/>
      <c r="T94" s="456"/>
      <c r="U94" s="456"/>
      <c r="V94" s="456"/>
      <c r="W94" s="451"/>
      <c r="X94" s="451"/>
    </row>
    <row r="96" spans="2:24" ht="15.75" x14ac:dyDescent="0.25">
      <c r="B96" s="457"/>
      <c r="C96" s="457"/>
      <c r="D96" s="457"/>
      <c r="E96" s="458"/>
      <c r="F96" s="458"/>
      <c r="G96" s="458"/>
      <c r="H96" s="458"/>
      <c r="I96" s="458"/>
      <c r="J96" s="458"/>
      <c r="K96" s="459"/>
      <c r="L96" s="460"/>
      <c r="M96" s="460"/>
      <c r="N96" s="460"/>
      <c r="O96" s="459"/>
      <c r="P96" s="460"/>
      <c r="Q96" s="458"/>
      <c r="R96" s="458"/>
      <c r="S96" s="458"/>
      <c r="T96" s="456"/>
      <c r="U96" s="456"/>
      <c r="V96" s="456"/>
      <c r="W96" s="456"/>
      <c r="X96" s="456"/>
    </row>
    <row r="101" spans="2:24" ht="47.25" x14ac:dyDescent="0.25">
      <c r="B101" s="462" t="s">
        <v>218</v>
      </c>
      <c r="C101" s="577" t="s">
        <v>191</v>
      </c>
      <c r="D101" s="578"/>
      <c r="E101" s="463" t="s">
        <v>737</v>
      </c>
      <c r="F101" s="463" t="s">
        <v>738</v>
      </c>
      <c r="G101" s="463" t="s">
        <v>739</v>
      </c>
      <c r="H101" s="463" t="s">
        <v>242</v>
      </c>
      <c r="I101" s="463" t="s">
        <v>243</v>
      </c>
      <c r="J101" s="463" t="s">
        <v>740</v>
      </c>
      <c r="K101" s="463" t="s">
        <v>741</v>
      </c>
      <c r="L101" s="463" t="s">
        <v>742</v>
      </c>
      <c r="M101" s="463"/>
      <c r="N101" s="473"/>
      <c r="O101" s="453"/>
      <c r="P101" s="474" t="s">
        <v>743</v>
      </c>
      <c r="Q101" s="475" t="s">
        <v>744</v>
      </c>
      <c r="R101" s="461" t="s">
        <v>745</v>
      </c>
      <c r="S101" s="476" t="s">
        <v>746</v>
      </c>
      <c r="T101" s="461" t="s">
        <v>747</v>
      </c>
      <c r="U101" s="461" t="s">
        <v>748</v>
      </c>
      <c r="V101" s="461" t="s">
        <v>749</v>
      </c>
      <c r="W101" s="461" t="s">
        <v>750</v>
      </c>
      <c r="X101" s="477" t="s">
        <v>751</v>
      </c>
    </row>
    <row r="102" spans="2:24" ht="15.75" x14ac:dyDescent="0.25">
      <c r="B102" s="449"/>
      <c r="C102" s="579" t="s">
        <v>31</v>
      </c>
      <c r="D102" s="579"/>
      <c r="E102" s="449">
        <v>20</v>
      </c>
      <c r="F102" s="449">
        <v>7</v>
      </c>
      <c r="G102" s="449"/>
      <c r="H102" s="449"/>
      <c r="I102" s="449"/>
      <c r="J102" s="455">
        <f>ЦЕХ!P12</f>
        <v>91.797664007096415</v>
      </c>
      <c r="K102" s="465">
        <f>J102*F102</f>
        <v>642.58364804967493</v>
      </c>
      <c r="L102" s="465">
        <f>K102*1.1</f>
        <v>706.84201285464246</v>
      </c>
      <c r="M102" s="465"/>
      <c r="N102" s="466"/>
      <c r="O102" s="467"/>
      <c r="P102" s="454">
        <f>K102+(ЦЕХ!P12-J102*ЦЕХ!E12)</f>
        <v>718.775709175565</v>
      </c>
      <c r="Q102" s="468">
        <f>1.1*J102</f>
        <v>100.97743040780607</v>
      </c>
      <c r="R102" s="469">
        <f>1.25*P102</f>
        <v>898.46963646945619</v>
      </c>
      <c r="S102" s="464" t="s">
        <v>261</v>
      </c>
      <c r="T102" s="451">
        <v>160</v>
      </c>
      <c r="U102" s="451">
        <v>125</v>
      </c>
      <c r="V102" s="470">
        <v>150</v>
      </c>
      <c r="W102" s="471">
        <v>875</v>
      </c>
      <c r="X102" s="472" t="s">
        <v>752</v>
      </c>
    </row>
    <row r="103" spans="2:24" ht="15.75" x14ac:dyDescent="0.25">
      <c r="B103" s="449"/>
      <c r="C103" s="579" t="s">
        <v>36</v>
      </c>
      <c r="D103" s="579"/>
      <c r="E103" s="449">
        <v>30</v>
      </c>
      <c r="F103" s="449">
        <v>7</v>
      </c>
      <c r="G103" s="449"/>
      <c r="H103" s="449"/>
      <c r="I103" s="449"/>
      <c r="J103" s="455">
        <f>ЦЕХ!P18</f>
        <v>128.77324461238052</v>
      </c>
      <c r="K103" s="465">
        <f t="shared" ref="K103:K106" si="12">J103*F103</f>
        <v>901.41271228666369</v>
      </c>
      <c r="L103" s="465">
        <f t="shared" ref="L103:L106" si="13">K103*1.1</f>
        <v>991.55398351533017</v>
      </c>
      <c r="M103" s="465"/>
      <c r="N103" s="466"/>
      <c r="O103" s="467"/>
      <c r="P103" s="454">
        <f>K103+(ЦЕХ!P18-J103*ЦЕХ!E18)</f>
        <v>1014.7331675455586</v>
      </c>
      <c r="Q103" s="468">
        <f t="shared" ref="Q103:Q106" si="14">1.1*J103</f>
        <v>141.65056907361858</v>
      </c>
      <c r="R103" s="469">
        <f t="shared" ref="R103:R106" si="15">1.25*P103</f>
        <v>1268.4164594319482</v>
      </c>
      <c r="S103" s="464" t="s">
        <v>261</v>
      </c>
      <c r="T103" s="451">
        <v>100</v>
      </c>
      <c r="U103" s="451">
        <v>63</v>
      </c>
      <c r="V103" s="470">
        <v>75.599999999999994</v>
      </c>
      <c r="W103" s="471">
        <v>441</v>
      </c>
      <c r="X103" s="472" t="s">
        <v>754</v>
      </c>
    </row>
    <row r="104" spans="2:24" ht="15.75" x14ac:dyDescent="0.25">
      <c r="B104" s="449"/>
      <c r="C104" s="579" t="s">
        <v>42</v>
      </c>
      <c r="D104" s="579"/>
      <c r="E104" s="449">
        <v>12</v>
      </c>
      <c r="F104" s="449">
        <v>7</v>
      </c>
      <c r="G104" s="449"/>
      <c r="H104" s="449"/>
      <c r="I104" s="449"/>
      <c r="J104" s="455">
        <f>ЦЕХ!P22</f>
        <v>17.770233538138992</v>
      </c>
      <c r="K104" s="465">
        <f t="shared" si="12"/>
        <v>124.39163476697294</v>
      </c>
      <c r="L104" s="465">
        <f t="shared" si="13"/>
        <v>136.83079824367024</v>
      </c>
      <c r="M104" s="465"/>
      <c r="N104" s="466"/>
      <c r="O104" s="467"/>
      <c r="P104" s="454">
        <f>K104+(ЦЕХ!P22-J104*ЦЕХ!E22)</f>
        <v>140.02944028053525</v>
      </c>
      <c r="Q104" s="468">
        <f t="shared" si="14"/>
        <v>19.547256891952895</v>
      </c>
      <c r="R104" s="469">
        <f t="shared" si="15"/>
        <v>175.03680035066907</v>
      </c>
      <c r="S104" s="464" t="s">
        <v>753</v>
      </c>
      <c r="T104" s="451">
        <v>100</v>
      </c>
      <c r="U104" s="451">
        <v>63</v>
      </c>
      <c r="V104" s="470">
        <v>75.599999999999994</v>
      </c>
      <c r="W104" s="471">
        <v>441</v>
      </c>
      <c r="X104" s="472" t="s">
        <v>754</v>
      </c>
    </row>
    <row r="105" spans="2:24" ht="15.75" x14ac:dyDescent="0.25">
      <c r="B105" s="449"/>
      <c r="C105" s="579" t="s">
        <v>46</v>
      </c>
      <c r="D105" s="579"/>
      <c r="E105" s="449">
        <v>7.5</v>
      </c>
      <c r="F105" s="449">
        <v>7</v>
      </c>
      <c r="G105" s="449"/>
      <c r="H105" s="449"/>
      <c r="I105" s="449"/>
      <c r="J105" s="455">
        <f>ЦЕХ!P27</f>
        <v>100.88970508431473</v>
      </c>
      <c r="K105" s="465">
        <f t="shared" si="12"/>
        <v>706.22793559020306</v>
      </c>
      <c r="L105" s="465">
        <f t="shared" si="13"/>
        <v>776.85072914922341</v>
      </c>
      <c r="M105" s="465"/>
      <c r="N105" s="466"/>
      <c r="O105" s="467"/>
      <c r="P105" s="454">
        <f>K105+(ЦЕХ!P27-J105*ЦЕХ!E27)</f>
        <v>795.01087606440001</v>
      </c>
      <c r="Q105" s="468">
        <f t="shared" si="14"/>
        <v>110.97867559274621</v>
      </c>
      <c r="R105" s="469">
        <f t="shared" si="15"/>
        <v>993.76359508049995</v>
      </c>
      <c r="S105" s="464" t="s">
        <v>755</v>
      </c>
      <c r="T105" s="451">
        <v>100</v>
      </c>
      <c r="U105" s="451">
        <v>63</v>
      </c>
      <c r="V105" s="470">
        <v>75.599999999999994</v>
      </c>
      <c r="W105" s="471">
        <v>441</v>
      </c>
      <c r="X105" s="472" t="s">
        <v>754</v>
      </c>
    </row>
    <row r="106" spans="2:24" ht="15.75" x14ac:dyDescent="0.25">
      <c r="B106" s="452"/>
      <c r="C106" s="573" t="s">
        <v>51</v>
      </c>
      <c r="D106" s="573"/>
      <c r="E106" s="452">
        <v>30</v>
      </c>
      <c r="F106" s="452">
        <v>7</v>
      </c>
      <c r="G106" s="452"/>
      <c r="H106" s="452"/>
      <c r="I106" s="452"/>
      <c r="J106" s="455">
        <f>ЦЕХ!P34</f>
        <v>74.002169745780648</v>
      </c>
      <c r="K106" s="465">
        <f t="shared" si="12"/>
        <v>518.01518822046455</v>
      </c>
      <c r="L106" s="465">
        <f t="shared" si="13"/>
        <v>569.8167070425111</v>
      </c>
      <c r="M106" s="465"/>
      <c r="N106" s="466"/>
      <c r="O106" s="467"/>
      <c r="P106" s="454">
        <f>K106+(ЦЕХ!P34-J106*ЦЕХ!E34)</f>
        <v>518.01518822046455</v>
      </c>
      <c r="Q106" s="468">
        <f t="shared" si="14"/>
        <v>81.40238672035872</v>
      </c>
      <c r="R106" s="469">
        <f t="shared" si="15"/>
        <v>647.51898527558069</v>
      </c>
      <c r="S106" s="464" t="s">
        <v>261</v>
      </c>
      <c r="T106" s="451">
        <v>100</v>
      </c>
      <c r="U106" s="451">
        <v>63</v>
      </c>
      <c r="V106" s="470">
        <v>75.599999999999994</v>
      </c>
      <c r="W106" s="471">
        <v>441</v>
      </c>
      <c r="X106" s="472" t="s">
        <v>754</v>
      </c>
    </row>
  </sheetData>
  <mergeCells count="37">
    <mergeCell ref="B57:K57"/>
    <mergeCell ref="H2:H3"/>
    <mergeCell ref="A35:I35"/>
    <mergeCell ref="I2:I3"/>
    <mergeCell ref="A13:Q13"/>
    <mergeCell ref="A1:Q1"/>
    <mergeCell ref="O2:Q2"/>
    <mergeCell ref="N2:N3"/>
    <mergeCell ref="M2:M3"/>
    <mergeCell ref="A2:A3"/>
    <mergeCell ref="L2:L3"/>
    <mergeCell ref="E2:E3"/>
    <mergeCell ref="C2:C3"/>
    <mergeCell ref="G2:G3"/>
    <mergeCell ref="F2:F3"/>
    <mergeCell ref="J2:J3"/>
    <mergeCell ref="D2:D3"/>
    <mergeCell ref="B2:B3"/>
    <mergeCell ref="K2:K3"/>
    <mergeCell ref="C106:D106"/>
    <mergeCell ref="C101:D101"/>
    <mergeCell ref="C102:D102"/>
    <mergeCell ref="C103:D103"/>
    <mergeCell ref="C104:D104"/>
    <mergeCell ref="C105:D105"/>
    <mergeCell ref="C94:D94"/>
    <mergeCell ref="C89:D89"/>
    <mergeCell ref="L89:N89"/>
    <mergeCell ref="L90:N90"/>
    <mergeCell ref="L91:N91"/>
    <mergeCell ref="L92:N92"/>
    <mergeCell ref="L93:N93"/>
    <mergeCell ref="L94:N94"/>
    <mergeCell ref="C90:D90"/>
    <mergeCell ref="C91:D91"/>
    <mergeCell ref="C92:D92"/>
    <mergeCell ref="C93:D93"/>
  </mergeCells>
  <phoneticPr fontId="46" type="noConversion"/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O14"/>
  <sheetViews>
    <sheetView workbookViewId="0">
      <selection activeCell="J11" sqref="J11"/>
    </sheetView>
  </sheetViews>
  <sheetFormatPr defaultColWidth="9.140625" defaultRowHeight="15" x14ac:dyDescent="0.25"/>
  <cols>
    <col min="1" max="1" width="11.140625" customWidth="1"/>
    <col min="3" max="5" width="10.5703125" bestFit="1" customWidth="1"/>
    <col min="6" max="6" width="9.28515625" bestFit="1" customWidth="1"/>
    <col min="8" max="8" width="17.28515625" customWidth="1"/>
    <col min="10" max="10" width="26.140625" bestFit="1" customWidth="1"/>
  </cols>
  <sheetData>
    <row r="4" spans="1:15" ht="18.75" x14ac:dyDescent="0.3">
      <c r="A4" s="599" t="s">
        <v>301</v>
      </c>
      <c r="B4" s="599"/>
      <c r="C4" s="599"/>
      <c r="D4" s="599"/>
      <c r="E4" s="599"/>
      <c r="F4" s="599"/>
      <c r="G4" s="599"/>
      <c r="H4" s="599"/>
      <c r="I4" s="188"/>
    </row>
    <row r="5" spans="1:15" ht="18.75" x14ac:dyDescent="0.3">
      <c r="A5" s="600" t="s">
        <v>302</v>
      </c>
      <c r="B5" s="601"/>
      <c r="C5" s="601"/>
      <c r="D5" s="601"/>
      <c r="E5" s="601"/>
      <c r="F5" s="601"/>
      <c r="G5" s="601"/>
      <c r="H5" s="602"/>
    </row>
    <row r="6" spans="1:15" ht="18.75" x14ac:dyDescent="0.3">
      <c r="A6" s="570" t="s">
        <v>303</v>
      </c>
      <c r="B6" s="590" t="s">
        <v>304</v>
      </c>
      <c r="C6" s="604" t="s">
        <v>305</v>
      </c>
      <c r="D6" s="605"/>
      <c r="E6" s="605"/>
      <c r="F6" s="606"/>
      <c r="G6" s="570" t="s">
        <v>306</v>
      </c>
      <c r="H6" s="607"/>
      <c r="J6" s="589" t="s">
        <v>307</v>
      </c>
      <c r="K6" s="589"/>
      <c r="L6" s="589"/>
      <c r="M6" s="589"/>
      <c r="N6" s="589"/>
      <c r="O6" s="589"/>
    </row>
    <row r="7" spans="1:15" ht="18.75" x14ac:dyDescent="0.3">
      <c r="A7" s="571"/>
      <c r="B7" s="603"/>
      <c r="C7" s="590" t="s">
        <v>308</v>
      </c>
      <c r="D7" s="590" t="s">
        <v>309</v>
      </c>
      <c r="E7" s="570" t="s">
        <v>310</v>
      </c>
      <c r="F7" s="592" t="s">
        <v>311</v>
      </c>
      <c r="G7" s="608"/>
      <c r="H7" s="609"/>
      <c r="J7" s="594" t="s">
        <v>312</v>
      </c>
      <c r="K7" s="595"/>
      <c r="L7" s="595"/>
      <c r="M7" s="595"/>
      <c r="N7" s="595"/>
      <c r="O7" s="596"/>
    </row>
    <row r="8" spans="1:15" ht="18.75" x14ac:dyDescent="0.3">
      <c r="A8" s="572"/>
      <c r="B8" s="591"/>
      <c r="C8" s="591"/>
      <c r="D8" s="591"/>
      <c r="E8" s="572"/>
      <c r="F8" s="593"/>
      <c r="G8" s="181" t="s">
        <v>308</v>
      </c>
      <c r="H8" s="181" t="s">
        <v>313</v>
      </c>
      <c r="J8" s="597" t="s">
        <v>155</v>
      </c>
      <c r="K8" s="193" t="s">
        <v>314</v>
      </c>
      <c r="L8" s="194" t="s">
        <v>315</v>
      </c>
      <c r="M8" s="194" t="s">
        <v>316</v>
      </c>
      <c r="N8" s="194" t="s">
        <v>317</v>
      </c>
      <c r="O8" s="194" t="s">
        <v>318</v>
      </c>
    </row>
    <row r="9" spans="1:15" ht="18.75" x14ac:dyDescent="0.3">
      <c r="A9" s="195" t="s">
        <v>200</v>
      </c>
      <c r="B9" s="131">
        <v>2</v>
      </c>
      <c r="C9" s="141">
        <f>'Ф-202-90-0,4'!C11</f>
        <v>2086.7410384310897</v>
      </c>
      <c r="D9" s="141">
        <f>'Ф-202-90-0,4'!D13</f>
        <v>641.02703579776744</v>
      </c>
      <c r="E9" s="141">
        <f>'Ф-202-90-0,4'!E13</f>
        <v>2182.9804905440942</v>
      </c>
      <c r="F9" s="196">
        <f>E9/(B9*1600)</f>
        <v>0.68218140329502941</v>
      </c>
      <c r="G9" s="141">
        <f>B9*$N$11+POWER(F9, 2)*$M$11</f>
        <v>11.878629205525996</v>
      </c>
      <c r="H9" s="141">
        <f>B9*$J$13+POWER(F9, 2)*$J$14</f>
        <v>76.675660832151252</v>
      </c>
      <c r="J9" s="598"/>
      <c r="K9" s="193" t="s">
        <v>319</v>
      </c>
      <c r="L9" s="194" t="s">
        <v>320</v>
      </c>
      <c r="M9" s="194" t="s">
        <v>27</v>
      </c>
      <c r="N9" s="194" t="s">
        <v>27</v>
      </c>
      <c r="O9" s="194" t="s">
        <v>320</v>
      </c>
    </row>
    <row r="10" spans="1:15" ht="18.75" x14ac:dyDescent="0.3">
      <c r="A10" s="195" t="s">
        <v>208</v>
      </c>
      <c r="B10" s="131">
        <v>2</v>
      </c>
      <c r="C10" s="141">
        <f>'Ф-202-90-0,4'!C22</f>
        <v>2125.1598835561363</v>
      </c>
      <c r="D10" s="141">
        <f>'Ф-202-90-0,4'!D24</f>
        <v>614.93312281491353</v>
      </c>
      <c r="E10" s="141">
        <f>'Ф-202-90-0,4'!E24</f>
        <v>2212.3397741330855</v>
      </c>
      <c r="F10" s="196">
        <f>E10/(B10*1600)</f>
        <v>0.69135617941658922</v>
      </c>
      <c r="G10" s="141">
        <f>B10*$N$11+POWER(F10, 2)*$M$11</f>
        <v>12.086560552488802</v>
      </c>
      <c r="H10" s="196">
        <f>B10*$J$13+POWER(F10, 2)*$J$14</f>
        <v>77.885443214480304</v>
      </c>
      <c r="J10" s="197"/>
      <c r="K10" s="193"/>
      <c r="L10" s="194"/>
      <c r="M10" s="194"/>
      <c r="N10" s="194"/>
      <c r="O10" s="194"/>
    </row>
    <row r="11" spans="1:15" ht="18.75" x14ac:dyDescent="0.3">
      <c r="A11" s="195" t="s">
        <v>210</v>
      </c>
      <c r="B11" s="131">
        <v>1</v>
      </c>
      <c r="C11" s="141">
        <f>'Ф-202-90-0,4'!C33</f>
        <v>1077.8407934056149</v>
      </c>
      <c r="D11" s="141">
        <f>'Ф-202-90-0,4'!D33</f>
        <v>233.56643211153892</v>
      </c>
      <c r="E11" s="141">
        <f>'Ф-202-90-0,4'!E33</f>
        <v>1102.8572229162576</v>
      </c>
      <c r="F11" s="196">
        <f>E11/(B11*1600)</f>
        <v>0.68928576432266098</v>
      </c>
      <c r="G11" s="141">
        <f>B11*$N$11+POWER(F11, 2)*$M$11</f>
        <v>9.939395270814936</v>
      </c>
      <c r="H11" s="141">
        <f>B11*$J$13+POWER(F11, 2)*$J$14</f>
        <v>61.611027030195991</v>
      </c>
      <c r="J11" s="198" t="s">
        <v>759</v>
      </c>
      <c r="K11" s="194">
        <v>1600</v>
      </c>
      <c r="L11" s="194">
        <v>6</v>
      </c>
      <c r="M11" s="194">
        <v>16.5</v>
      </c>
      <c r="N11" s="194">
        <v>2.1</v>
      </c>
      <c r="O11" s="194">
        <v>1</v>
      </c>
    </row>
    <row r="12" spans="1:15" ht="18.75" x14ac:dyDescent="0.3">
      <c r="A12" s="199" t="s">
        <v>212</v>
      </c>
      <c r="B12" s="200">
        <v>2</v>
      </c>
      <c r="C12" s="201">
        <f>'Ф-202-90-0,4'!C43</f>
        <v>2140.0387299785166</v>
      </c>
      <c r="D12" s="201">
        <f>'Ф-202-90-0,4'!D43</f>
        <v>689.57145958889214</v>
      </c>
      <c r="E12" s="201">
        <f>'Ф-202-90-0,4'!E43</f>
        <v>2248.3937741613718</v>
      </c>
      <c r="F12" s="202">
        <f>E12/(B12*1600)</f>
        <v>0.70262305442542872</v>
      </c>
      <c r="G12" s="141">
        <f>B12*$N$11+POWER(F12, 2)*$M$11</f>
        <v>12.345706084066965</v>
      </c>
      <c r="H12" s="141">
        <f>B12*$J$13+POWER(F12, 2)*$J$14</f>
        <v>79.393199034571424</v>
      </c>
    </row>
    <row r="13" spans="1:15" ht="18" x14ac:dyDescent="0.25">
      <c r="I13" s="203" t="s">
        <v>321</v>
      </c>
      <c r="J13">
        <f>O11/100*K11</f>
        <v>16</v>
      </c>
    </row>
    <row r="14" spans="1:15" ht="18" x14ac:dyDescent="0.25">
      <c r="I14" s="203" t="s">
        <v>322</v>
      </c>
      <c r="J14">
        <f>L11/100*K11</f>
        <v>96</v>
      </c>
    </row>
  </sheetData>
  <mergeCells count="13">
    <mergeCell ref="A4:H4"/>
    <mergeCell ref="A5:H5"/>
    <mergeCell ref="A6:A8"/>
    <mergeCell ref="B6:B8"/>
    <mergeCell ref="C6:F6"/>
    <mergeCell ref="G6:H7"/>
    <mergeCell ref="J6:O6"/>
    <mergeCell ref="C7:C8"/>
    <mergeCell ref="D7:D8"/>
    <mergeCell ref="E7:E8"/>
    <mergeCell ref="F7:F8"/>
    <mergeCell ref="J7:O7"/>
    <mergeCell ref="J8:J9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"/>
  <sheetViews>
    <sheetView workbookViewId="0">
      <selection sqref="A1:K1"/>
    </sheetView>
  </sheetViews>
  <sheetFormatPr defaultColWidth="9.140625" defaultRowHeight="15" x14ac:dyDescent="0.25"/>
  <cols>
    <col min="2" max="2" width="37.28515625" customWidth="1"/>
    <col min="3" max="3" width="10.85546875" customWidth="1"/>
    <col min="4" max="4" width="10.7109375" customWidth="1"/>
    <col min="5" max="6" width="9.140625" customWidth="1"/>
    <col min="13" max="15" width="9.140625" customWidth="1"/>
  </cols>
  <sheetData>
    <row r="1" spans="1:14" ht="18.75" x14ac:dyDescent="0.3">
      <c r="A1" s="610" t="s">
        <v>323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20"/>
      <c r="M1" s="20"/>
      <c r="N1" s="20"/>
    </row>
    <row r="2" spans="1:14" ht="15.6" customHeight="1" x14ac:dyDescent="0.3">
      <c r="A2" s="600" t="s">
        <v>324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2"/>
    </row>
    <row r="3" spans="1:14" ht="34.15" customHeight="1" x14ac:dyDescent="0.25">
      <c r="A3" s="204" t="s">
        <v>325</v>
      </c>
      <c r="B3" s="2" t="s">
        <v>326</v>
      </c>
      <c r="C3" s="3" t="s">
        <v>308</v>
      </c>
      <c r="D3" s="3" t="s">
        <v>309</v>
      </c>
      <c r="E3" s="2" t="s">
        <v>327</v>
      </c>
      <c r="F3" s="12" t="s">
        <v>328</v>
      </c>
      <c r="G3" s="12" t="s">
        <v>329</v>
      </c>
      <c r="H3" s="12" t="s">
        <v>330</v>
      </c>
      <c r="I3" s="12" t="s">
        <v>331</v>
      </c>
      <c r="J3" s="12" t="s">
        <v>332</v>
      </c>
      <c r="K3" s="12" t="s">
        <v>333</v>
      </c>
      <c r="L3" s="82" t="s">
        <v>334</v>
      </c>
      <c r="M3" s="82" t="s">
        <v>335</v>
      </c>
      <c r="N3" s="78" t="s">
        <v>336</v>
      </c>
    </row>
    <row r="4" spans="1:14" ht="29.45" customHeight="1" x14ac:dyDescent="0.25">
      <c r="A4" s="4">
        <v>1</v>
      </c>
      <c r="B4" s="4" t="s">
        <v>337</v>
      </c>
      <c r="C4" s="205">
        <f>'0,4'!M11</f>
        <v>650.9738023164108</v>
      </c>
      <c r="D4" s="205">
        <f>'0,4'!N11</f>
        <v>944.69001729071726</v>
      </c>
      <c r="E4" s="78">
        <f>C4/SQRT(3.14*1000)</f>
        <v>11.617125664078674</v>
      </c>
      <c r="F4" s="78">
        <v>314</v>
      </c>
      <c r="G4" s="78">
        <v>217</v>
      </c>
      <c r="H4" s="78">
        <f t="shared" ref="H4:H18" si="0">F4*C4</f>
        <v>204405.773927353</v>
      </c>
      <c r="I4" s="78">
        <f t="shared" ref="I4:I18" si="1">G4*C4</f>
        <v>141261.31510266114</v>
      </c>
      <c r="J4" s="78">
        <f t="shared" ref="J4:J18" si="2">D4*F4</f>
        <v>296632.6654292852</v>
      </c>
      <c r="K4" s="78">
        <f t="shared" ref="K4:K18" si="3">D4*G4</f>
        <v>204997.73375208565</v>
      </c>
      <c r="L4" s="78">
        <f t="shared" ref="L4:L18" si="4">D4/SQRT(3.14*1000)</f>
        <v>16.858716288451557</v>
      </c>
      <c r="M4" s="206">
        <f>СВЕТ!M4</f>
        <v>4.1738023164108595</v>
      </c>
      <c r="N4" s="78">
        <f t="shared" ref="N4:N18" si="5">M4/C4*360</f>
        <v>2.3081863333995956</v>
      </c>
    </row>
    <row r="5" spans="1:14" ht="16.899999999999999" customHeight="1" x14ac:dyDescent="0.25">
      <c r="A5" s="4">
        <v>2</v>
      </c>
      <c r="B5" s="207" t="s">
        <v>338</v>
      </c>
      <c r="C5" s="208">
        <f>'0,4'!M15</f>
        <v>846.49431352613465</v>
      </c>
      <c r="D5" s="208">
        <f>'0,4'!N15</f>
        <v>965.88305326796285</v>
      </c>
      <c r="E5" s="78">
        <f>C5/SQRT(3.14*1000)</f>
        <v>15.106338809900848</v>
      </c>
      <c r="F5" s="78">
        <v>179</v>
      </c>
      <c r="G5" s="78">
        <v>217</v>
      </c>
      <c r="H5" s="78">
        <f t="shared" si="0"/>
        <v>151522.48212117809</v>
      </c>
      <c r="I5" s="78">
        <f t="shared" si="1"/>
        <v>183689.26603517123</v>
      </c>
      <c r="J5" s="78">
        <f t="shared" si="2"/>
        <v>172893.06653496536</v>
      </c>
      <c r="K5" s="78">
        <f t="shared" si="3"/>
        <v>209596.62255914795</v>
      </c>
      <c r="L5" s="209">
        <f t="shared" si="4"/>
        <v>17.236922233567814</v>
      </c>
      <c r="M5" s="206">
        <f>СВЕТ!M5</f>
        <v>6.4943135261346345</v>
      </c>
      <c r="N5" s="78">
        <f t="shared" si="5"/>
        <v>2.7619238925180172</v>
      </c>
    </row>
    <row r="6" spans="1:14" ht="28.15" customHeight="1" x14ac:dyDescent="0.25">
      <c r="A6" s="4">
        <v>3</v>
      </c>
      <c r="B6" s="207" t="s">
        <v>90</v>
      </c>
      <c r="C6" s="205">
        <f>'0,4'!M19+'0,4'!M81</f>
        <v>16601.574352764423</v>
      </c>
      <c r="D6" s="205">
        <f>'0,4'!N19+'0,4'!N81</f>
        <v>15184.227283123026</v>
      </c>
      <c r="E6" s="78">
        <f>C6/SQRT(3.14*1000)</f>
        <v>296.26779878288795</v>
      </c>
      <c r="F6" s="78">
        <v>390</v>
      </c>
      <c r="G6" s="78">
        <v>141</v>
      </c>
      <c r="H6" s="78">
        <f t="shared" si="0"/>
        <v>6474613.9975781245</v>
      </c>
      <c r="I6" s="78">
        <f t="shared" si="1"/>
        <v>2340821.9837397835</v>
      </c>
      <c r="J6" s="78">
        <f t="shared" si="2"/>
        <v>5921848.64041798</v>
      </c>
      <c r="K6" s="78">
        <f t="shared" si="3"/>
        <v>2140976.0469203466</v>
      </c>
      <c r="L6" s="78">
        <f t="shared" si="4"/>
        <v>270.97415569149581</v>
      </c>
      <c r="M6" s="206">
        <f>СВЕТ!M6</f>
        <v>6.3243527644230753</v>
      </c>
      <c r="N6" s="78">
        <f t="shared" si="5"/>
        <v>0.13714163167984064</v>
      </c>
    </row>
    <row r="7" spans="1:14" ht="15.75" x14ac:dyDescent="0.25">
      <c r="A7" s="4">
        <v>4</v>
      </c>
      <c r="B7" s="4" t="s">
        <v>339</v>
      </c>
      <c r="C7" s="208">
        <f>'0,4'!M24+'0,4'!M84</f>
        <v>3300.7035276621059</v>
      </c>
      <c r="D7" s="208">
        <f>'0,4'!N24+'0,4'!N84</f>
        <v>2984.9229841236852</v>
      </c>
      <c r="E7" s="78">
        <f>C7/SQRT(3.14*3800)</f>
        <v>30.216899142004156</v>
      </c>
      <c r="F7" s="78">
        <v>396</v>
      </c>
      <c r="G7" s="78">
        <v>223</v>
      </c>
      <c r="H7" s="78">
        <f t="shared" si="0"/>
        <v>1307078.5969541939</v>
      </c>
      <c r="I7" s="78">
        <f t="shared" si="1"/>
        <v>736056.88666864962</v>
      </c>
      <c r="J7" s="78">
        <f t="shared" si="2"/>
        <v>1182029.5017129793</v>
      </c>
      <c r="K7" s="78">
        <f t="shared" si="3"/>
        <v>665637.8254595818</v>
      </c>
      <c r="L7" s="209">
        <f t="shared" si="4"/>
        <v>53.268234882525917</v>
      </c>
      <c r="M7" s="206">
        <f>СВЕТ!M7</f>
        <v>2.4735276621058899</v>
      </c>
      <c r="N7" s="210">
        <f t="shared" si="5"/>
        <v>0.2697818664704012</v>
      </c>
    </row>
    <row r="8" spans="1:14" ht="15.75" x14ac:dyDescent="0.25">
      <c r="A8" s="4">
        <v>5</v>
      </c>
      <c r="B8" s="22" t="s">
        <v>92</v>
      </c>
      <c r="C8" s="205">
        <f>'0,4'!M28</f>
        <v>291.1995</v>
      </c>
      <c r="D8" s="205">
        <f>'0,4'!N28</f>
        <v>271.54958857442864</v>
      </c>
      <c r="E8" s="78">
        <f t="shared" ref="E8:E18" si="6">C8/SQRT(3.14*1000)</f>
        <v>5.1966779197246291</v>
      </c>
      <c r="F8" s="78">
        <v>108</v>
      </c>
      <c r="G8" s="78">
        <v>217</v>
      </c>
      <c r="H8" s="78">
        <f t="shared" si="0"/>
        <v>31449.545999999998</v>
      </c>
      <c r="I8" s="78">
        <f t="shared" si="1"/>
        <v>63190.291499999999</v>
      </c>
      <c r="J8" s="78">
        <f t="shared" si="2"/>
        <v>29327.355566038292</v>
      </c>
      <c r="K8" s="78">
        <f t="shared" si="3"/>
        <v>58926.260720651015</v>
      </c>
      <c r="L8" s="78">
        <f t="shared" si="4"/>
        <v>4.846010213118638</v>
      </c>
      <c r="M8" s="206">
        <f>СВЕТ!M8</f>
        <v>3.1994999999999996</v>
      </c>
      <c r="N8" s="78">
        <f t="shared" si="5"/>
        <v>3.9554326157840238</v>
      </c>
    </row>
    <row r="9" spans="1:14" ht="15.75" x14ac:dyDescent="0.25">
      <c r="A9" s="4">
        <v>6</v>
      </c>
      <c r="B9" s="4" t="s">
        <v>94</v>
      </c>
      <c r="C9" s="205">
        <f>'0,4'!M32</f>
        <v>423.64139092627602</v>
      </c>
      <c r="D9" s="205">
        <f>'0,4'!N32</f>
        <v>613.88604285019574</v>
      </c>
      <c r="E9" s="78">
        <f t="shared" si="6"/>
        <v>7.560204815283023</v>
      </c>
      <c r="F9" s="78">
        <v>166</v>
      </c>
      <c r="G9" s="78">
        <v>136</v>
      </c>
      <c r="H9" s="78">
        <f t="shared" si="0"/>
        <v>70324.470893761812</v>
      </c>
      <c r="I9" s="78">
        <f t="shared" si="1"/>
        <v>57615.229165973535</v>
      </c>
      <c r="J9" s="78">
        <f t="shared" si="2"/>
        <v>101905.0831131325</v>
      </c>
      <c r="K9" s="78">
        <f t="shared" si="3"/>
        <v>83488.50182762662</v>
      </c>
      <c r="L9" s="78">
        <f t="shared" si="4"/>
        <v>10.95526621476596</v>
      </c>
      <c r="M9" s="206">
        <f>СВЕТ!M9</f>
        <v>3.6413909262759945</v>
      </c>
      <c r="N9" s="78">
        <f t="shared" si="5"/>
        <v>3.0943641521739007</v>
      </c>
    </row>
    <row r="10" spans="1:14" ht="15.75" x14ac:dyDescent="0.25">
      <c r="A10" s="4">
        <v>7</v>
      </c>
      <c r="B10" s="4" t="s">
        <v>97</v>
      </c>
      <c r="C10" s="205">
        <f>'0,4'!M36</f>
        <v>572.52635926077062</v>
      </c>
      <c r="D10" s="205">
        <f>'0,4'!N36</f>
        <v>889.76202984349948</v>
      </c>
      <c r="E10" s="78">
        <f t="shared" si="6"/>
        <v>10.217171010358113</v>
      </c>
      <c r="F10" s="78">
        <v>70</v>
      </c>
      <c r="G10" s="78">
        <v>130</v>
      </c>
      <c r="H10" s="78">
        <f t="shared" si="0"/>
        <v>40076.845148253946</v>
      </c>
      <c r="I10" s="78">
        <f t="shared" si="1"/>
        <v>74428.426703900186</v>
      </c>
      <c r="J10" s="78">
        <f t="shared" si="2"/>
        <v>62283.342089044963</v>
      </c>
      <c r="K10" s="78">
        <f t="shared" si="3"/>
        <v>115669.06387965493</v>
      </c>
      <c r="L10" s="78">
        <f t="shared" si="4"/>
        <v>15.878484318472664</v>
      </c>
      <c r="M10" s="206">
        <f>СВЕТ!M10</f>
        <v>2.5263592607705965</v>
      </c>
      <c r="N10" s="78">
        <f t="shared" si="5"/>
        <v>1.5885545166020321</v>
      </c>
    </row>
    <row r="11" spans="1:14" ht="15.75" x14ac:dyDescent="0.25">
      <c r="A11" s="4">
        <v>8</v>
      </c>
      <c r="B11" s="211" t="s">
        <v>99</v>
      </c>
      <c r="C11" s="5">
        <f>'0,4'!M40+'0,4'!M84</f>
        <v>3650.5711999999999</v>
      </c>
      <c r="D11" s="5">
        <f>'0,4'!N40</f>
        <v>731.13084028283413</v>
      </c>
      <c r="E11" s="78">
        <f t="shared" si="6"/>
        <v>65.147236686267121</v>
      </c>
      <c r="F11" s="212">
        <v>246</v>
      </c>
      <c r="G11" s="212">
        <v>135</v>
      </c>
      <c r="H11" s="12">
        <f t="shared" si="0"/>
        <v>898040.51520000002</v>
      </c>
      <c r="I11" s="12">
        <f t="shared" si="1"/>
        <v>492827.11199999996</v>
      </c>
      <c r="J11" s="12">
        <f t="shared" si="2"/>
        <v>179858.18670957719</v>
      </c>
      <c r="K11" s="12">
        <f t="shared" si="3"/>
        <v>98702.663438182601</v>
      </c>
      <c r="L11" s="78">
        <f t="shared" si="4"/>
        <v>13.047589347260276</v>
      </c>
      <c r="M11" s="206">
        <f>СВЕТ!M11</f>
        <v>3.2911999999999999</v>
      </c>
      <c r="N11" s="210">
        <f t="shared" si="5"/>
        <v>0.32456071532038605</v>
      </c>
    </row>
    <row r="12" spans="1:14" ht="15.75" x14ac:dyDescent="0.25">
      <c r="A12" s="4">
        <v>9</v>
      </c>
      <c r="B12" s="4" t="s">
        <v>101</v>
      </c>
      <c r="C12" s="205">
        <f>'0,4'!M44+'0,4'!M87</f>
        <v>1813.8297107692308</v>
      </c>
      <c r="D12" s="205">
        <f>'0,4'!N44+'0,4'!N87</f>
        <v>1542.4987116871278</v>
      </c>
      <c r="E12" s="78">
        <f t="shared" si="6"/>
        <v>32.369179233120157</v>
      </c>
      <c r="F12" s="78">
        <v>41</v>
      </c>
      <c r="G12" s="78">
        <v>205</v>
      </c>
      <c r="H12" s="78">
        <f t="shared" si="0"/>
        <v>74367.018141538458</v>
      </c>
      <c r="I12" s="78">
        <f t="shared" si="1"/>
        <v>371835.09070769232</v>
      </c>
      <c r="J12" s="78">
        <f t="shared" si="2"/>
        <v>63242.447179172239</v>
      </c>
      <c r="K12" s="78">
        <f t="shared" si="3"/>
        <v>316212.23589586117</v>
      </c>
      <c r="L12" s="78">
        <f t="shared" si="4"/>
        <v>27.527069916769033</v>
      </c>
      <c r="M12" s="206">
        <f>СВЕТ!M12</f>
        <v>1.0297107692307694</v>
      </c>
      <c r="N12" s="78">
        <f t="shared" si="5"/>
        <v>0.20437192903068491</v>
      </c>
    </row>
    <row r="13" spans="1:14" ht="15.75" x14ac:dyDescent="0.25">
      <c r="A13" s="4">
        <v>10</v>
      </c>
      <c r="B13" s="4" t="s">
        <v>102</v>
      </c>
      <c r="C13" s="205">
        <f>'0,4'!M48</f>
        <v>866.82126900000003</v>
      </c>
      <c r="D13" s="205">
        <f>'0,4'!N48</f>
        <v>811.36640294039353</v>
      </c>
      <c r="E13" s="78">
        <f t="shared" si="6"/>
        <v>15.469088885660804</v>
      </c>
      <c r="F13" s="78">
        <v>163</v>
      </c>
      <c r="G13" s="78">
        <v>53</v>
      </c>
      <c r="H13" s="78">
        <f t="shared" si="0"/>
        <v>141291.866847</v>
      </c>
      <c r="I13" s="78">
        <f t="shared" si="1"/>
        <v>45941.527257000002</v>
      </c>
      <c r="J13" s="78">
        <f t="shared" si="2"/>
        <v>132252.72367928416</v>
      </c>
      <c r="K13" s="78">
        <f t="shared" si="3"/>
        <v>43002.419355840859</v>
      </c>
      <c r="L13" s="78">
        <f t="shared" si="4"/>
        <v>14.479454363646708</v>
      </c>
      <c r="M13" s="206">
        <f>СВЕТ!M13</f>
        <v>2.8212690000000005</v>
      </c>
      <c r="N13" s="78">
        <f t="shared" si="5"/>
        <v>1.1717027215676223</v>
      </c>
    </row>
    <row r="14" spans="1:14" ht="15.75" x14ac:dyDescent="0.25">
      <c r="A14" s="213">
        <v>11</v>
      </c>
      <c r="B14" s="211" t="s">
        <v>104</v>
      </c>
      <c r="C14" s="214">
        <f>'0,4'!M53</f>
        <v>49.085416666666667</v>
      </c>
      <c r="D14" s="214">
        <f>'0,4'!N53</f>
        <v>112.7457521979747</v>
      </c>
      <c r="E14" s="78">
        <f t="shared" si="6"/>
        <v>0.87596682333640685</v>
      </c>
      <c r="F14" s="215">
        <v>265</v>
      </c>
      <c r="G14" s="215">
        <v>54</v>
      </c>
      <c r="H14" s="215">
        <f t="shared" si="0"/>
        <v>13007.635416666666</v>
      </c>
      <c r="I14" s="215">
        <f t="shared" si="1"/>
        <v>2650.6125000000002</v>
      </c>
      <c r="J14" s="215">
        <f t="shared" si="2"/>
        <v>29877.624332463296</v>
      </c>
      <c r="K14" s="215">
        <f t="shared" si="3"/>
        <v>6088.2706186906335</v>
      </c>
      <c r="L14" s="78">
        <f t="shared" si="4"/>
        <v>2.0120342273594551</v>
      </c>
      <c r="M14" s="206">
        <f>СВЕТ!M14</f>
        <v>0.3354166666666667</v>
      </c>
      <c r="N14" s="215">
        <f t="shared" si="5"/>
        <v>2.4599974534187856</v>
      </c>
    </row>
    <row r="15" spans="1:14" ht="31.5" x14ac:dyDescent="0.25">
      <c r="A15" s="211">
        <v>12</v>
      </c>
      <c r="B15" s="211" t="s">
        <v>340</v>
      </c>
      <c r="C15">
        <f>'0,4'!M57</f>
        <v>214.10820247933881</v>
      </c>
      <c r="D15">
        <f>'0,4'!N57</f>
        <v>188.54954897850905</v>
      </c>
      <c r="E15" s="78">
        <f t="shared" si="6"/>
        <v>3.8209247208745558</v>
      </c>
      <c r="F15" s="216">
        <v>72</v>
      </c>
      <c r="G15" s="216">
        <v>53</v>
      </c>
      <c r="H15" s="216">
        <f t="shared" si="0"/>
        <v>15415.790578512395</v>
      </c>
      <c r="I15" s="216">
        <f t="shared" si="1"/>
        <v>11347.734731404957</v>
      </c>
      <c r="J15" s="216">
        <f t="shared" si="2"/>
        <v>13575.567526452651</v>
      </c>
      <c r="K15" s="216">
        <f t="shared" si="3"/>
        <v>9993.1260958609801</v>
      </c>
      <c r="L15" s="78">
        <f t="shared" si="4"/>
        <v>3.3648109902340337</v>
      </c>
      <c r="M15" s="206">
        <f>СВЕТ!M15</f>
        <v>0.92820247933884292</v>
      </c>
      <c r="N15" s="215">
        <f t="shared" si="5"/>
        <v>1.5606730087523333</v>
      </c>
    </row>
    <row r="16" spans="1:14" ht="15.75" x14ac:dyDescent="0.25">
      <c r="A16" s="211">
        <v>13</v>
      </c>
      <c r="B16" s="211" t="s">
        <v>107</v>
      </c>
      <c r="C16">
        <f>'0,4'!M61</f>
        <v>210.04640000000001</v>
      </c>
      <c r="D16">
        <f>'0,4'!N61</f>
        <v>184.01104904953257</v>
      </c>
      <c r="E16" s="78">
        <f t="shared" si="6"/>
        <v>3.7484387473111989</v>
      </c>
      <c r="F16" s="216">
        <v>250</v>
      </c>
      <c r="G16" s="216">
        <v>217</v>
      </c>
      <c r="H16" s="216">
        <f t="shared" si="0"/>
        <v>52511.6</v>
      </c>
      <c r="I16" s="216">
        <f t="shared" si="1"/>
        <v>45580.068800000001</v>
      </c>
      <c r="J16" s="216">
        <f t="shared" si="2"/>
        <v>46002.762262383141</v>
      </c>
      <c r="K16" s="216">
        <f t="shared" si="3"/>
        <v>39930.397643748569</v>
      </c>
      <c r="L16" s="78">
        <f t="shared" si="4"/>
        <v>3.2838179858862109</v>
      </c>
      <c r="M16" s="206">
        <f>СВЕТ!M16</f>
        <v>3.3264000000000005</v>
      </c>
      <c r="N16" s="215">
        <f t="shared" si="5"/>
        <v>5.7011403194722696</v>
      </c>
    </row>
    <row r="17" spans="1:16" ht="15.75" x14ac:dyDescent="0.25">
      <c r="A17" s="211">
        <v>14</v>
      </c>
      <c r="B17" s="211" t="s">
        <v>108</v>
      </c>
      <c r="C17">
        <f>'0,4'!M65</f>
        <v>1188.7949999999998</v>
      </c>
      <c r="D17">
        <f>'0,4'!N65</f>
        <v>586.54740912495674</v>
      </c>
      <c r="E17" s="78">
        <f t="shared" si="6"/>
        <v>21.214956507751698</v>
      </c>
      <c r="F17" s="216">
        <v>319</v>
      </c>
      <c r="G17" s="216">
        <v>137</v>
      </c>
      <c r="H17" s="216">
        <f t="shared" si="0"/>
        <v>379225.60499999992</v>
      </c>
      <c r="I17" s="216">
        <f t="shared" si="1"/>
        <v>162864.91499999998</v>
      </c>
      <c r="J17" s="216">
        <f t="shared" si="2"/>
        <v>187108.62351086119</v>
      </c>
      <c r="K17" s="216">
        <f t="shared" si="3"/>
        <v>80356.995050119076</v>
      </c>
      <c r="L17" s="78">
        <f t="shared" si="4"/>
        <v>10.467387374879941</v>
      </c>
      <c r="M17" s="206">
        <f>СВЕТ!M17</f>
        <v>3.1950000000000003</v>
      </c>
      <c r="N17" s="215">
        <f t="shared" si="5"/>
        <v>0.9675343520119114</v>
      </c>
    </row>
    <row r="18" spans="1:16" ht="15.75" x14ac:dyDescent="0.25">
      <c r="A18" s="211">
        <v>15</v>
      </c>
      <c r="B18" s="211" t="s">
        <v>97</v>
      </c>
      <c r="C18" s="20">
        <f>'0,4'!M69</f>
        <v>193.26</v>
      </c>
      <c r="D18" s="20">
        <f>'0,4'!N69</f>
        <v>192.68759753636994</v>
      </c>
      <c r="E18" s="78">
        <f t="shared" si="6"/>
        <v>3.4488725934144182</v>
      </c>
      <c r="F18" s="216">
        <v>367</v>
      </c>
      <c r="G18" s="216">
        <v>53</v>
      </c>
      <c r="H18" s="216">
        <f t="shared" si="0"/>
        <v>70926.42</v>
      </c>
      <c r="I18" s="216">
        <f t="shared" si="1"/>
        <v>10242.779999999999</v>
      </c>
      <c r="J18" s="216">
        <f t="shared" si="2"/>
        <v>70716.348295847769</v>
      </c>
      <c r="K18" s="216">
        <f t="shared" si="3"/>
        <v>10212.442669427606</v>
      </c>
      <c r="L18" s="78">
        <f t="shared" si="4"/>
        <v>3.4386576334164021</v>
      </c>
      <c r="M18" s="206">
        <f>СВЕТ!M18</f>
        <v>0.495</v>
      </c>
      <c r="N18" s="215">
        <f t="shared" si="5"/>
        <v>0.92207389009624352</v>
      </c>
    </row>
    <row r="19" spans="1:16" ht="15.75" x14ac:dyDescent="0.25">
      <c r="B19" s="211" t="s">
        <v>132</v>
      </c>
      <c r="C19" s="21">
        <f>SUM(C4:C18)</f>
        <v>30873.630445371349</v>
      </c>
      <c r="D19" s="21">
        <f>SUM(D4:D18)</f>
        <v>26204.458310871203</v>
      </c>
      <c r="H19" s="20">
        <f>SUM(H4:H18)</f>
        <v>9924258.1638065819</v>
      </c>
      <c r="I19" s="20">
        <f>SUM(I4:I18)</f>
        <v>4740353.2399122361</v>
      </c>
      <c r="J19" s="20">
        <f>SUM(J4:J18)</f>
        <v>8489553.9383594673</v>
      </c>
      <c r="K19" s="20">
        <f>SUM(K4:K18)</f>
        <v>4083790.6058868268</v>
      </c>
    </row>
    <row r="20" spans="1:16" ht="15.75" x14ac:dyDescent="0.25">
      <c r="A20" s="217"/>
      <c r="B20" s="4" t="s">
        <v>341</v>
      </c>
      <c r="C20" s="218">
        <f>SUM(C4:C18)</f>
        <v>30873.630445371349</v>
      </c>
      <c r="D20" s="218">
        <f>SUM(D4:D18)</f>
        <v>26204.458310871203</v>
      </c>
      <c r="E20" s="218">
        <f>C20/SQRT(3.14*1311.31)</f>
        <v>481.13858960297711</v>
      </c>
      <c r="F20" s="219">
        <f>H20/C20</f>
        <v>321.44772158774254</v>
      </c>
      <c r="G20" s="219">
        <f>I20/C20</f>
        <v>153.5405189324899</v>
      </c>
      <c r="H20" s="220">
        <f>SUM(H4:H18)</f>
        <v>9924258.1638065819</v>
      </c>
      <c r="I20" s="220">
        <f>SUM(I4:I18)</f>
        <v>4740353.2399122361</v>
      </c>
      <c r="J20" s="220">
        <f>SUM(J4:J18)</f>
        <v>8489553.9383594673</v>
      </c>
      <c r="K20" s="220">
        <f>SUM(K4:K18)</f>
        <v>4083790.6058868268</v>
      </c>
      <c r="L20" s="220">
        <f>D20/SQRT(3.14*1311.31)</f>
        <v>408.37361629081755</v>
      </c>
      <c r="M20" s="206" t="e">
        <f>#REF!</f>
        <v>#REF!</v>
      </c>
      <c r="N20" s="221" t="e">
        <f>M20/C20*360</f>
        <v>#REF!</v>
      </c>
      <c r="P20">
        <f>C24*(D24/C24-TAN(ACOS(0.98)))</f>
        <v>-7427.7355669835815</v>
      </c>
    </row>
    <row r="24" spans="1:16" x14ac:dyDescent="0.25">
      <c r="C24">
        <f>C20*(D20/C20-TAN(ACOS(0.99)))</f>
        <v>21805.204235854755</v>
      </c>
      <c r="D24">
        <v>-3000</v>
      </c>
      <c r="E24">
        <v>2150</v>
      </c>
      <c r="G24">
        <f>SQRT(POWER(C20, 2)+POWER(D20, 2))</f>
        <v>40495.119363246078</v>
      </c>
      <c r="H24">
        <f>0.7*G24</f>
        <v>28346.583554272253</v>
      </c>
      <c r="L24">
        <f>C19*(D19/C19-TAN(ACOS(0.98)))</f>
        <v>19935.300263724883</v>
      </c>
      <c r="M24">
        <v>6378</v>
      </c>
      <c r="N24">
        <f>L24-M24</f>
        <v>13557.300263724883</v>
      </c>
    </row>
  </sheetData>
  <mergeCells count="2">
    <mergeCell ref="A1:K1"/>
    <mergeCell ref="A2:N2"/>
  </mergeCells>
  <pageMargins left="0.70000004768371604" right="0.70000004768371604" top="0.75" bottom="0.75" header="0.30000001192092901" footer="0.3000000119209290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2"/>
  <sheetViews>
    <sheetView workbookViewId="0">
      <selection activeCell="G17" sqref="G17"/>
    </sheetView>
  </sheetViews>
  <sheetFormatPr defaultColWidth="9.140625" defaultRowHeight="15" x14ac:dyDescent="0.25"/>
  <cols>
    <col min="1" max="1" width="22.85546875" customWidth="1"/>
    <col min="2" max="2" width="14.7109375" customWidth="1"/>
    <col min="3" max="3" width="16.28515625" customWidth="1"/>
    <col min="4" max="4" width="14.7109375" customWidth="1"/>
    <col min="5" max="5" width="8.85546875" customWidth="1"/>
    <col min="7" max="7" width="10.42578125" customWidth="1"/>
    <col min="10" max="10" width="12.140625" bestFit="1" customWidth="1"/>
  </cols>
  <sheetData>
    <row r="1" spans="1:11" ht="18.75" x14ac:dyDescent="0.3">
      <c r="A1" s="190" t="s">
        <v>342</v>
      </c>
      <c r="B1" s="190"/>
      <c r="C1" s="190"/>
      <c r="D1" s="190"/>
      <c r="E1" s="190"/>
      <c r="F1" s="190"/>
      <c r="G1" s="190"/>
    </row>
    <row r="2" spans="1:11" ht="18.75" x14ac:dyDescent="0.25">
      <c r="A2" s="619" t="s">
        <v>343</v>
      </c>
      <c r="B2" s="619"/>
      <c r="C2" s="619"/>
      <c r="D2" s="619"/>
      <c r="E2" s="619"/>
      <c r="F2" s="619"/>
      <c r="G2" s="222"/>
    </row>
    <row r="3" spans="1:11" ht="18" customHeight="1" x14ac:dyDescent="0.25">
      <c r="A3" s="611" t="s">
        <v>344</v>
      </c>
      <c r="B3" s="614" t="s">
        <v>192</v>
      </c>
      <c r="C3" s="611" t="s">
        <v>193</v>
      </c>
      <c r="D3" s="617"/>
      <c r="E3" s="618"/>
      <c r="F3" s="614" t="s">
        <v>345</v>
      </c>
      <c r="G3" s="614" t="s">
        <v>346</v>
      </c>
    </row>
    <row r="4" spans="1:11" ht="18.600000000000001" customHeight="1" x14ac:dyDescent="0.3">
      <c r="A4" s="612"/>
      <c r="B4" s="615"/>
      <c r="C4" s="223" t="s">
        <v>27</v>
      </c>
      <c r="D4" s="223" t="s">
        <v>28</v>
      </c>
      <c r="E4" s="223" t="s">
        <v>29</v>
      </c>
      <c r="F4" s="615"/>
      <c r="G4" s="615"/>
    </row>
    <row r="5" spans="1:11" ht="21" customHeight="1" x14ac:dyDescent="0.25">
      <c r="A5" s="613"/>
      <c r="B5" s="616"/>
      <c r="C5" s="174" t="s">
        <v>197</v>
      </c>
      <c r="D5" s="174" t="s">
        <v>198</v>
      </c>
      <c r="E5" s="174" t="s">
        <v>199</v>
      </c>
      <c r="F5" s="616"/>
      <c r="G5" s="616"/>
    </row>
    <row r="6" spans="1:11" ht="18.75" x14ac:dyDescent="0.3">
      <c r="A6" s="99" t="s">
        <v>347</v>
      </c>
      <c r="B6" s="224"/>
      <c r="C6" s="224"/>
      <c r="D6" s="224"/>
      <c r="E6" s="224"/>
      <c r="F6" s="173"/>
      <c r="G6" s="224"/>
    </row>
    <row r="7" spans="1:11" ht="18.75" x14ac:dyDescent="0.3">
      <c r="A7" s="99" t="s">
        <v>348</v>
      </c>
      <c r="B7" s="224"/>
      <c r="C7" s="224">
        <v>1400</v>
      </c>
      <c r="D7" s="224">
        <f>'0,4'!N87</f>
        <v>1154.9999999999998</v>
      </c>
      <c r="E7" s="225">
        <f>'0,4'!O87</f>
        <v>1814.9449027449841</v>
      </c>
      <c r="F7" s="173"/>
      <c r="G7" s="224"/>
    </row>
    <row r="8" spans="1:11" ht="18.600000000000001" customHeight="1" x14ac:dyDescent="0.25">
      <c r="A8" s="226" t="s">
        <v>349</v>
      </c>
      <c r="B8" s="224"/>
      <c r="C8" s="224">
        <v>15624</v>
      </c>
      <c r="D8" s="224">
        <f>'0,4'!N81</f>
        <v>13859.999999999996</v>
      </c>
      <c r="E8" s="227">
        <f>'0,4'!O81</f>
        <v>20885.616485993414</v>
      </c>
      <c r="F8" s="174"/>
      <c r="G8" s="175"/>
      <c r="I8" s="21">
        <f>D15/C15</f>
        <v>0.61636791468152297</v>
      </c>
      <c r="J8">
        <f>SQRT(1-K8*K8)</f>
        <v>0.14106735979665894</v>
      </c>
      <c r="K8">
        <v>0.99</v>
      </c>
    </row>
    <row r="9" spans="1:11" ht="27.6" customHeight="1" x14ac:dyDescent="0.25">
      <c r="A9" s="226" t="s">
        <v>350</v>
      </c>
      <c r="B9" s="224"/>
      <c r="C9" s="224">
        <v>3210</v>
      </c>
      <c r="D9" s="224">
        <f>'0,4'!N84</f>
        <v>2910.5999999999995</v>
      </c>
      <c r="E9" s="225">
        <f>'0,4'!O84</f>
        <v>4333.4483024953688</v>
      </c>
      <c r="F9" s="173"/>
      <c r="G9" s="224"/>
      <c r="I9" s="21">
        <f>C15*(I8-J8)</f>
        <v>13171.695332163561</v>
      </c>
    </row>
    <row r="10" spans="1:11" ht="18.75" x14ac:dyDescent="0.25">
      <c r="A10" s="228" t="s">
        <v>351</v>
      </c>
      <c r="B10" s="229"/>
      <c r="C10" s="229">
        <v>2100.71</v>
      </c>
      <c r="D10" s="229">
        <f>'Ф-202-90-0,4'!D15</f>
        <v>717.70269662991871</v>
      </c>
      <c r="E10" s="55">
        <f>'Ф-202-90-0,4'!E15</f>
        <v>2217.9498799885168</v>
      </c>
      <c r="F10" s="230" t="s">
        <v>352</v>
      </c>
      <c r="G10" s="229"/>
    </row>
    <row r="11" spans="1:11" ht="45" customHeight="1" x14ac:dyDescent="0.25">
      <c r="A11" s="231" t="s">
        <v>208</v>
      </c>
      <c r="B11" s="232"/>
      <c r="C11" s="233">
        <v>2138.12</v>
      </c>
      <c r="D11" s="229">
        <f>'Ф-202-90-0,4'!D26</f>
        <v>692.81856602939388</v>
      </c>
      <c r="E11" s="55">
        <f>'Ф-202-90-0,4'!E26</f>
        <v>2246.7353934742709</v>
      </c>
      <c r="F11" s="234" t="s">
        <v>352</v>
      </c>
      <c r="G11" s="235"/>
      <c r="K11" s="21"/>
    </row>
    <row r="12" spans="1:11" ht="18.75" x14ac:dyDescent="0.25">
      <c r="A12" s="236" t="s">
        <v>210</v>
      </c>
      <c r="B12" s="237"/>
      <c r="C12" s="237">
        <v>1085.6300000000001</v>
      </c>
      <c r="D12" s="229">
        <f>'Ф-202-90-0,4'!D35</f>
        <v>295.17745914173491</v>
      </c>
      <c r="E12" s="238">
        <f>'Ф-202-90-0,4'!E35</f>
        <v>1127.1182153005514</v>
      </c>
      <c r="F12" s="239" t="s">
        <v>353</v>
      </c>
      <c r="G12" s="237"/>
    </row>
    <row r="13" spans="1:11" ht="18.75" x14ac:dyDescent="0.25">
      <c r="A13" s="226" t="s">
        <v>212</v>
      </c>
      <c r="B13" s="224"/>
      <c r="C13" s="224">
        <v>2153.89</v>
      </c>
      <c r="D13" s="229">
        <f>'Ф-202-90-0,4'!D45</f>
        <v>768.96465862346361</v>
      </c>
      <c r="E13" s="238">
        <f>'Ф-202-90-0,4'!E45</f>
        <v>2285.6214487128759</v>
      </c>
      <c r="F13" s="174" t="s">
        <v>352</v>
      </c>
      <c r="G13" s="175"/>
    </row>
    <row r="14" spans="1:11" ht="18.75" x14ac:dyDescent="0.25">
      <c r="A14" s="226"/>
      <c r="B14" s="175"/>
      <c r="C14" s="224"/>
      <c r="D14" s="224"/>
      <c r="E14" s="131"/>
      <c r="F14" s="174"/>
      <c r="G14" s="175"/>
    </row>
    <row r="15" spans="1:11" ht="37.5" x14ac:dyDescent="0.25">
      <c r="A15" s="129" t="s">
        <v>354</v>
      </c>
      <c r="B15" s="130">
        <f>COS(ATAN(D15/C15))</f>
        <v>0.85128447362813553</v>
      </c>
      <c r="C15" s="130">
        <f>C7+C8+C9+C10+C11+C12+C13</f>
        <v>27712.35</v>
      </c>
      <c r="D15" s="130">
        <f>D7+D8+D9+D10+D11+D12+D13-3319.26</f>
        <v>17081.003380424503</v>
      </c>
      <c r="E15" s="131">
        <f>SQRT(POWER(C15, 2)+POWER(D15, 2))</f>
        <v>32553.571524558916</v>
      </c>
      <c r="F15" s="131"/>
      <c r="G15" s="130"/>
    </row>
    <row r="16" spans="1:11" ht="18.75" x14ac:dyDescent="0.25">
      <c r="A16" s="228" t="s">
        <v>204</v>
      </c>
      <c r="B16" s="240"/>
      <c r="C16" s="240"/>
      <c r="D16" s="240">
        <v>-13000</v>
      </c>
      <c r="E16" s="241"/>
      <c r="F16" s="241"/>
      <c r="G16" s="242"/>
    </row>
    <row r="17" spans="1:7" ht="35.450000000000003" customHeight="1" x14ac:dyDescent="0.3">
      <c r="A17" s="243" t="s">
        <v>355</v>
      </c>
      <c r="B17" s="232">
        <f>COS(ATAN(D17/C17))</f>
        <v>0.98933004100331123</v>
      </c>
      <c r="C17" s="244">
        <f>SUM(C15:C16)</f>
        <v>27712.35</v>
      </c>
      <c r="D17" s="244">
        <f>SUM(D15:D16)</f>
        <v>4081.0033804245031</v>
      </c>
      <c r="E17" s="245">
        <f>SQRT(POWER(C17, 2)+POWER(D17, 2))</f>
        <v>28011.228661262543</v>
      </c>
      <c r="F17" s="246"/>
      <c r="G17" s="235">
        <f>E17/(1.73*10)</f>
        <v>1619.1461653908984</v>
      </c>
    </row>
    <row r="18" spans="1:7" ht="18.75" x14ac:dyDescent="0.3">
      <c r="A18" s="243" t="s">
        <v>132</v>
      </c>
      <c r="B18" s="232">
        <f>COS(ATAN(D18/C18))</f>
        <v>0.98745225756194288</v>
      </c>
      <c r="C18" s="244">
        <f>SUM(C11, C17)</f>
        <v>29850.469999999998</v>
      </c>
      <c r="D18" s="244">
        <f>SUM(D11, D17)</f>
        <v>4773.821946453897</v>
      </c>
      <c r="E18" s="247">
        <f>SQRT(POWER(C18, 2)+POWER(D18, 2))</f>
        <v>30229.78556320479</v>
      </c>
      <c r="F18" s="246"/>
      <c r="G18" s="235">
        <f>E18/(1.73*6)</f>
        <v>2912.3107479002692</v>
      </c>
    </row>
    <row r="19" spans="1:7" ht="37.5" x14ac:dyDescent="0.25">
      <c r="A19" s="248" t="s">
        <v>356</v>
      </c>
      <c r="B19" s="249"/>
      <c r="C19" s="250">
        <f>'Потери ГПП'!H6</f>
        <v>85.683411965406606</v>
      </c>
      <c r="D19" s="250">
        <f>'Потери ГПП'!I6</f>
        <v>1253.8254720865161</v>
      </c>
      <c r="E19" s="249"/>
      <c r="F19" s="249" t="s">
        <v>357</v>
      </c>
      <c r="G19" s="250"/>
    </row>
    <row r="20" spans="1:7" ht="18.75" x14ac:dyDescent="0.3">
      <c r="A20" s="251" t="s">
        <v>132</v>
      </c>
      <c r="B20" s="252">
        <f>COS(ATAN(D20/C20))+0.02</f>
        <v>1.0003253238783008</v>
      </c>
      <c r="C20" s="253">
        <f>SUM(C18:C19)</f>
        <v>29936.153411965402</v>
      </c>
      <c r="D20" s="253">
        <f>SUM(D18:D19)</f>
        <v>6027.6474185404131</v>
      </c>
      <c r="E20" s="254">
        <f>SQRT(POWER(C20, 2)+POWER(D20, 2))</f>
        <v>30536.958173776326</v>
      </c>
      <c r="F20" s="255"/>
      <c r="G20" s="252">
        <f>E20/(1.73*110)</f>
        <v>160.46746281542997</v>
      </c>
    </row>
    <row r="21" spans="1:7" ht="18.75" x14ac:dyDescent="0.3">
      <c r="A21" s="256"/>
      <c r="B21" s="257"/>
      <c r="C21" s="258"/>
      <c r="D21" s="258"/>
      <c r="E21" s="259"/>
      <c r="F21" s="260"/>
      <c r="G21" s="257"/>
    </row>
    <row r="22" spans="1:7" ht="18.75" x14ac:dyDescent="0.3">
      <c r="A22" s="256"/>
      <c r="B22" s="257"/>
      <c r="C22" s="258"/>
      <c r="D22" s="258"/>
      <c r="E22" s="259"/>
      <c r="F22" s="260"/>
      <c r="G22" s="257"/>
    </row>
    <row r="23" spans="1:7" ht="18.75" x14ac:dyDescent="0.3">
      <c r="A23" s="256"/>
      <c r="B23" s="257"/>
      <c r="C23" s="258"/>
      <c r="D23" s="258"/>
      <c r="E23" s="259"/>
      <c r="F23" s="260"/>
      <c r="G23" s="257"/>
    </row>
    <row r="24" spans="1:7" ht="18.75" x14ac:dyDescent="0.3">
      <c r="A24" s="256"/>
      <c r="B24" s="257"/>
      <c r="C24" s="258"/>
      <c r="D24" s="258"/>
      <c r="E24" s="259"/>
      <c r="F24" s="260"/>
      <c r="G24" s="257"/>
    </row>
    <row r="25" spans="1:7" ht="18.75" x14ac:dyDescent="0.3">
      <c r="A25" s="256"/>
      <c r="B25" s="257"/>
      <c r="C25" s="258"/>
      <c r="D25" s="258"/>
      <c r="E25" s="259"/>
      <c r="F25" s="260"/>
      <c r="G25" s="257"/>
    </row>
    <row r="26" spans="1:7" ht="18.75" x14ac:dyDescent="0.3">
      <c r="A26" s="256"/>
      <c r="B26" s="257"/>
      <c r="C26" s="258"/>
      <c r="D26" s="258"/>
      <c r="E26" s="259"/>
      <c r="F26" s="260"/>
      <c r="G26" s="257"/>
    </row>
    <row r="27" spans="1:7" ht="18.75" x14ac:dyDescent="0.3">
      <c r="A27" s="256"/>
      <c r="B27" s="257"/>
      <c r="C27" s="258"/>
      <c r="D27" s="258"/>
      <c r="E27" s="259"/>
      <c r="F27" s="260"/>
      <c r="G27" s="257"/>
    </row>
    <row r="29" spans="1:7" ht="18.75" x14ac:dyDescent="0.25">
      <c r="A29" s="611" t="s">
        <v>344</v>
      </c>
      <c r="B29" s="614" t="s">
        <v>192</v>
      </c>
      <c r="C29" s="611" t="s">
        <v>193</v>
      </c>
      <c r="D29" s="617"/>
      <c r="E29" s="618"/>
      <c r="F29" s="614" t="s">
        <v>345</v>
      </c>
      <c r="G29" s="614" t="s">
        <v>346</v>
      </c>
    </row>
    <row r="30" spans="1:7" ht="18.75" x14ac:dyDescent="0.3">
      <c r="A30" s="612"/>
      <c r="B30" s="615"/>
      <c r="C30" s="223" t="s">
        <v>27</v>
      </c>
      <c r="D30" s="223" t="s">
        <v>28</v>
      </c>
      <c r="E30" s="223" t="s">
        <v>29</v>
      </c>
      <c r="F30" s="615"/>
      <c r="G30" s="615"/>
    </row>
    <row r="31" spans="1:7" ht="20.25" x14ac:dyDescent="0.25">
      <c r="A31" s="613"/>
      <c r="B31" s="616"/>
      <c r="C31" s="174" t="s">
        <v>197</v>
      </c>
      <c r="D31" s="174" t="s">
        <v>198</v>
      </c>
      <c r="E31" s="174" t="s">
        <v>199</v>
      </c>
      <c r="F31" s="616"/>
      <c r="G31" s="616"/>
    </row>
    <row r="32" spans="1:7" ht="18.75" x14ac:dyDescent="0.3">
      <c r="A32" s="99" t="s">
        <v>358</v>
      </c>
      <c r="B32" s="224"/>
      <c r="C32" s="224">
        <f>'0,4'!M84</f>
        <v>3210.48</v>
      </c>
      <c r="D32" s="224">
        <f>'0,4'!N84</f>
        <v>2910.5999999999995</v>
      </c>
      <c r="E32" s="224"/>
      <c r="F32" s="173"/>
      <c r="G32" s="224"/>
    </row>
    <row r="33" spans="1:7" ht="18.75" x14ac:dyDescent="0.25">
      <c r="A33" s="226" t="s">
        <v>359</v>
      </c>
      <c r="B33" s="224"/>
      <c r="C33" s="224" t="e">
        <f>#REF!</f>
        <v>#REF!</v>
      </c>
      <c r="D33" s="224" t="e">
        <f>#REF!</f>
        <v>#REF!</v>
      </c>
      <c r="E33" s="224"/>
      <c r="F33" s="174" t="s">
        <v>360</v>
      </c>
      <c r="G33" s="175"/>
    </row>
    <row r="34" spans="1:7" ht="18.75" x14ac:dyDescent="0.25">
      <c r="A34" s="236" t="s">
        <v>361</v>
      </c>
      <c r="B34" s="237"/>
      <c r="C34" s="237" t="e">
        <f>#REF!</f>
        <v>#REF!</v>
      </c>
      <c r="D34" s="237" t="e">
        <f>#REF!</f>
        <v>#REF!</v>
      </c>
      <c r="E34" s="249"/>
      <c r="F34" s="239" t="s">
        <v>362</v>
      </c>
      <c r="G34" s="237"/>
    </row>
    <row r="35" spans="1:7" ht="18.75" x14ac:dyDescent="0.25">
      <c r="A35" s="226" t="s">
        <v>363</v>
      </c>
      <c r="B35" s="224"/>
      <c r="C35" s="224" t="e">
        <f>#REF!</f>
        <v>#REF!</v>
      </c>
      <c r="D35" s="224" t="e">
        <f>#REF!</f>
        <v>#REF!</v>
      </c>
      <c r="E35" s="224"/>
      <c r="F35" s="174" t="s">
        <v>360</v>
      </c>
      <c r="G35" s="175"/>
    </row>
    <row r="36" spans="1:7" ht="18.75" x14ac:dyDescent="0.25">
      <c r="A36" s="226" t="s">
        <v>364</v>
      </c>
      <c r="B36" s="175"/>
      <c r="C36" s="224">
        <f>'0,4'!M82</f>
        <v>0</v>
      </c>
      <c r="D36" s="224">
        <f>'0,4'!N82</f>
        <v>0</v>
      </c>
      <c r="E36" s="131"/>
      <c r="F36" s="174"/>
      <c r="G36" s="175"/>
    </row>
    <row r="37" spans="1:7" ht="37.5" x14ac:dyDescent="0.25">
      <c r="A37" s="129" t="s">
        <v>354</v>
      </c>
      <c r="B37" s="130" t="e">
        <f>COS(ATAN(D37/C37))</f>
        <v>#REF!</v>
      </c>
      <c r="C37" s="130" t="e">
        <f>C32+C33+C34+C36+C35</f>
        <v>#REF!</v>
      </c>
      <c r="D37" s="130" t="e">
        <f>D32+D36+D33+D35+D34</f>
        <v>#REF!</v>
      </c>
      <c r="E37" s="131" t="e">
        <f>SQRT(POWER(C37, 2)+POWER(D37, 2))</f>
        <v>#REF!</v>
      </c>
      <c r="F37" s="131"/>
      <c r="G37" s="130"/>
    </row>
    <row r="38" spans="1:7" ht="18.75" x14ac:dyDescent="0.25">
      <c r="A38" s="228" t="s">
        <v>204</v>
      </c>
      <c r="B38" s="240"/>
      <c r="C38" s="240"/>
      <c r="D38" s="240">
        <v>-2100</v>
      </c>
      <c r="E38" s="241"/>
      <c r="F38" s="241"/>
      <c r="G38" s="242"/>
    </row>
    <row r="39" spans="1:7" ht="18.75" x14ac:dyDescent="0.3">
      <c r="A39" s="243" t="s">
        <v>365</v>
      </c>
      <c r="B39" s="232" t="e">
        <f>COS(ATAN(D39/C39))</f>
        <v>#REF!</v>
      </c>
      <c r="C39" s="244" t="e">
        <f>SUM(C37:C38)</f>
        <v>#REF!</v>
      </c>
      <c r="D39" s="244" t="e">
        <f>SUM(D37:D38)</f>
        <v>#REF!</v>
      </c>
      <c r="E39" s="247" t="e">
        <f>SQRT(POWER(C39, 2)+POWER(D39, 2))</f>
        <v>#REF!</v>
      </c>
      <c r="F39" s="246"/>
      <c r="G39" s="235" t="e">
        <f>E39/(1.73*6)</f>
        <v>#REF!</v>
      </c>
    </row>
    <row r="40" spans="1:7" ht="18.75" x14ac:dyDescent="0.3">
      <c r="A40" s="243" t="s">
        <v>132</v>
      </c>
      <c r="B40" s="232" t="e">
        <f>COS(ATAN(D40/C40))</f>
        <v>#REF!</v>
      </c>
      <c r="C40" s="244" t="e">
        <f>SUM(C38:C39)</f>
        <v>#REF!</v>
      </c>
      <c r="D40" s="244" t="e">
        <f>SUM(D37:D38)</f>
        <v>#REF!</v>
      </c>
      <c r="E40" s="247" t="e">
        <f>SQRT(POWER(C40, 2)+POWER(D40, 2))</f>
        <v>#REF!</v>
      </c>
      <c r="F40" s="246"/>
      <c r="G40" s="235" t="e">
        <f>E40/(1.73*6)</f>
        <v>#REF!</v>
      </c>
    </row>
    <row r="41" spans="1:7" ht="37.5" x14ac:dyDescent="0.25">
      <c r="A41" s="248" t="s">
        <v>356</v>
      </c>
      <c r="B41" s="249"/>
      <c r="C41" s="250">
        <f>'Потери ГПП'!H6</f>
        <v>85.683411965406606</v>
      </c>
      <c r="D41" s="250">
        <f>'Потери ГПП'!I6</f>
        <v>1253.8254720865161</v>
      </c>
      <c r="E41" s="249"/>
      <c r="F41" s="249" t="s">
        <v>366</v>
      </c>
      <c r="G41" s="250"/>
    </row>
    <row r="42" spans="1:7" ht="18.75" x14ac:dyDescent="0.3">
      <c r="A42" s="251" t="s">
        <v>367</v>
      </c>
      <c r="B42" s="252" t="e">
        <f>COS(ATAN(D42/C42))</f>
        <v>#REF!</v>
      </c>
      <c r="C42" s="253" t="e">
        <f>SUM(C40:C41)</f>
        <v>#REF!</v>
      </c>
      <c r="D42" s="253" t="e">
        <f>SUM(D40:D41)</f>
        <v>#REF!</v>
      </c>
      <c r="E42" s="254" t="e">
        <f>SQRT(POWER(C42, 2)+POWER(D42, 2))</f>
        <v>#REF!</v>
      </c>
      <c r="F42" s="255"/>
      <c r="G42" s="252" t="e">
        <f>E42/(1.73*35)</f>
        <v>#REF!</v>
      </c>
    </row>
  </sheetData>
  <mergeCells count="11">
    <mergeCell ref="G3:G5"/>
    <mergeCell ref="A2:F2"/>
    <mergeCell ref="A3:A5"/>
    <mergeCell ref="B3:B5"/>
    <mergeCell ref="C3:E3"/>
    <mergeCell ref="F3:F5"/>
    <mergeCell ref="A29:A31"/>
    <mergeCell ref="B29:B31"/>
    <mergeCell ref="C29:E29"/>
    <mergeCell ref="F29:F31"/>
    <mergeCell ref="G29:G31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1"/>
  <sheetViews>
    <sheetView zoomScaleNormal="100" workbookViewId="0">
      <selection activeCell="H56" sqref="H56"/>
    </sheetView>
  </sheetViews>
  <sheetFormatPr defaultColWidth="9.140625" defaultRowHeight="15" x14ac:dyDescent="0.25"/>
  <cols>
    <col min="1" max="1" width="36.85546875" customWidth="1"/>
    <col min="2" max="2" width="18.85546875" customWidth="1"/>
    <col min="3" max="3" width="14.28515625" customWidth="1"/>
    <col min="4" max="4" width="15.28515625" customWidth="1"/>
    <col min="5" max="5" width="19" customWidth="1"/>
    <col min="6" max="6" width="20.28515625" customWidth="1"/>
    <col min="7" max="7" width="16.42578125" customWidth="1"/>
    <col min="9" max="9" width="21.28515625" customWidth="1"/>
    <col min="10" max="10" width="30.140625" customWidth="1"/>
    <col min="11" max="11" width="20" customWidth="1"/>
    <col min="12" max="12" width="10.85546875" customWidth="1"/>
    <col min="15" max="15" width="22.7109375" customWidth="1"/>
    <col min="18" max="18" width="16.7109375" customWidth="1"/>
  </cols>
  <sheetData>
    <row r="1" spans="2:17" ht="18.75" x14ac:dyDescent="0.3">
      <c r="B1" s="599" t="s">
        <v>368</v>
      </c>
      <c r="C1" s="599"/>
      <c r="D1" s="599"/>
      <c r="E1" s="599"/>
      <c r="F1" s="599"/>
      <c r="G1" s="599"/>
    </row>
    <row r="2" spans="2:17" ht="15.75" x14ac:dyDescent="0.25">
      <c r="B2" s="643" t="s">
        <v>369</v>
      </c>
      <c r="C2" s="644"/>
      <c r="D2" s="644"/>
      <c r="E2" s="644"/>
      <c r="F2" s="644"/>
      <c r="G2" s="645"/>
    </row>
    <row r="3" spans="2:17" ht="15.75" x14ac:dyDescent="0.25">
      <c r="B3" s="633" t="s">
        <v>370</v>
      </c>
      <c r="C3" s="625" t="s">
        <v>371</v>
      </c>
      <c r="D3" s="625" t="s">
        <v>372</v>
      </c>
      <c r="E3" s="636"/>
      <c r="F3" s="625" t="s">
        <v>373</v>
      </c>
      <c r="G3" s="636"/>
      <c r="K3" t="s">
        <v>374</v>
      </c>
    </row>
    <row r="4" spans="2:17" ht="79.900000000000006" customHeight="1" x14ac:dyDescent="0.25">
      <c r="B4" s="634"/>
      <c r="C4" s="635"/>
      <c r="D4" s="261" t="s">
        <v>281</v>
      </c>
      <c r="E4" s="262" t="s">
        <v>375</v>
      </c>
      <c r="F4" s="261" t="s">
        <v>281</v>
      </c>
      <c r="G4" s="262" t="s">
        <v>376</v>
      </c>
      <c r="J4" t="s">
        <v>377</v>
      </c>
      <c r="K4">
        <f>5+9.4</f>
        <v>14.4</v>
      </c>
      <c r="L4">
        <f>5+9.4</f>
        <v>14.4</v>
      </c>
    </row>
    <row r="5" spans="2:17" ht="78" customHeight="1" x14ac:dyDescent="0.25">
      <c r="B5" s="263" t="s">
        <v>378</v>
      </c>
      <c r="C5" s="262">
        <v>65000</v>
      </c>
      <c r="D5" s="262">
        <v>2</v>
      </c>
      <c r="E5" s="262">
        <f>C5*D5</f>
        <v>130000</v>
      </c>
      <c r="F5" s="262" t="s">
        <v>241</v>
      </c>
      <c r="G5" s="262" t="s">
        <v>241</v>
      </c>
      <c r="J5">
        <v>92</v>
      </c>
    </row>
    <row r="6" spans="2:17" ht="47.25" x14ac:dyDescent="0.25">
      <c r="B6" s="263" t="s">
        <v>379</v>
      </c>
      <c r="C6" s="262">
        <v>100000</v>
      </c>
      <c r="D6" s="262" t="s">
        <v>241</v>
      </c>
      <c r="E6" s="262" t="s">
        <v>241</v>
      </c>
      <c r="F6" s="262">
        <v>2</v>
      </c>
      <c r="G6" s="262">
        <f>F6*C6</f>
        <v>200000</v>
      </c>
    </row>
    <row r="7" spans="2:17" ht="47.25" x14ac:dyDescent="0.25">
      <c r="B7" s="263" t="s">
        <v>380</v>
      </c>
      <c r="C7" s="262">
        <v>2000</v>
      </c>
      <c r="D7" s="262">
        <v>5</v>
      </c>
      <c r="E7" s="262">
        <f>C7*D7</f>
        <v>10000</v>
      </c>
      <c r="F7" s="262" t="s">
        <v>241</v>
      </c>
      <c r="G7" s="262" t="s">
        <v>241</v>
      </c>
      <c r="J7">
        <v>55</v>
      </c>
    </row>
    <row r="8" spans="2:17" ht="47.25" customHeight="1" x14ac:dyDescent="0.25">
      <c r="B8" s="262" t="s">
        <v>381</v>
      </c>
      <c r="C8" s="264">
        <v>3700</v>
      </c>
      <c r="D8" s="264" t="s">
        <v>241</v>
      </c>
      <c r="E8" s="264" t="s">
        <v>241</v>
      </c>
      <c r="F8" s="264">
        <v>2</v>
      </c>
      <c r="G8" s="264">
        <f>C8*F8</f>
        <v>7400</v>
      </c>
      <c r="J8" s="265" t="s">
        <v>382</v>
      </c>
      <c r="K8" s="75">
        <f>K4/100*E10</f>
        <v>59760.000000000007</v>
      </c>
      <c r="L8">
        <v>25</v>
      </c>
    </row>
    <row r="9" spans="2:17" ht="47.25" x14ac:dyDescent="0.25">
      <c r="B9" s="262" t="s">
        <v>383</v>
      </c>
      <c r="C9" s="264">
        <v>55000</v>
      </c>
      <c r="D9" s="264">
        <v>5</v>
      </c>
      <c r="E9" s="264">
        <f>C9*D9</f>
        <v>275000</v>
      </c>
      <c r="F9" s="264">
        <v>5</v>
      </c>
      <c r="G9" s="264">
        <f>C9*F9</f>
        <v>275000</v>
      </c>
      <c r="K9" s="75">
        <f>K4/100*G10</f>
        <v>69465.600000000006</v>
      </c>
      <c r="L9">
        <v>40</v>
      </c>
    </row>
    <row r="10" spans="2:17" ht="18.75" x14ac:dyDescent="0.25">
      <c r="B10" s="263" t="s">
        <v>384</v>
      </c>
      <c r="C10" s="262"/>
      <c r="D10" s="262"/>
      <c r="E10" s="266">
        <f>SUM(E5:E9)</f>
        <v>415000</v>
      </c>
      <c r="F10" s="262"/>
      <c r="G10" s="266">
        <f>SUM(G5:G9)</f>
        <v>482400</v>
      </c>
      <c r="H10" s="265"/>
    </row>
    <row r="11" spans="2:17" ht="15.75" x14ac:dyDescent="0.25">
      <c r="H11" s="265"/>
      <c r="J11" s="265"/>
      <c r="K11" s="265"/>
      <c r="L11" s="265"/>
      <c r="M11" s="265">
        <f>0.125*M9</f>
        <v>0</v>
      </c>
      <c r="N11" s="265"/>
      <c r="O11" s="265">
        <f>0.125*O9</f>
        <v>0</v>
      </c>
    </row>
    <row r="12" spans="2:17" ht="15.75" x14ac:dyDescent="0.25">
      <c r="H12" s="265"/>
      <c r="J12" s="267" t="s">
        <v>385</v>
      </c>
      <c r="K12" s="265">
        <f>14.4/100</f>
        <v>0.14400000000000002</v>
      </c>
      <c r="L12" s="265"/>
      <c r="M12" s="10">
        <f>K12*M9</f>
        <v>0</v>
      </c>
      <c r="N12" s="10"/>
      <c r="O12" s="10">
        <f>K12*O9</f>
        <v>0</v>
      </c>
    </row>
    <row r="13" spans="2:17" ht="15.75" x14ac:dyDescent="0.25">
      <c r="H13" s="265"/>
      <c r="J13" s="265"/>
      <c r="K13" s="265"/>
      <c r="L13" s="265"/>
      <c r="M13" s="265"/>
      <c r="N13" s="265"/>
      <c r="O13" s="265"/>
    </row>
    <row r="14" spans="2:17" ht="15.75" x14ac:dyDescent="0.25">
      <c r="B14" s="265"/>
      <c r="C14" s="265"/>
      <c r="D14" s="265"/>
      <c r="E14" s="265"/>
      <c r="F14" s="265"/>
      <c r="G14" s="265"/>
      <c r="H14" s="265"/>
      <c r="J14" s="265"/>
      <c r="K14" s="265"/>
      <c r="L14" s="265">
        <f>1154979.9</f>
        <v>1154979.8999999999</v>
      </c>
      <c r="M14" s="268">
        <f>L14*4.2/1000</f>
        <v>4850.9155799999999</v>
      </c>
      <c r="N14" s="265">
        <v>825517.2</v>
      </c>
      <c r="O14" s="268">
        <f>N14*4.2/1000</f>
        <v>3467.1722399999999</v>
      </c>
    </row>
    <row r="15" spans="2:17" ht="15.75" x14ac:dyDescent="0.25">
      <c r="H15" s="265"/>
      <c r="J15" s="265"/>
      <c r="K15" s="265"/>
      <c r="L15" s="265"/>
      <c r="M15" s="268">
        <f>SUM(M11:M14)</f>
        <v>4850.9155799999999</v>
      </c>
      <c r="N15" s="265"/>
      <c r="O15" s="268">
        <f>SUM(O11:O14)</f>
        <v>3467.1722399999999</v>
      </c>
    </row>
    <row r="16" spans="2:17" x14ac:dyDescent="0.25">
      <c r="Q16">
        <v>20</v>
      </c>
    </row>
    <row r="19" spans="2:15" x14ac:dyDescent="0.25">
      <c r="J19" s="620"/>
      <c r="K19" s="621"/>
      <c r="L19" s="621"/>
      <c r="M19" s="621"/>
      <c r="N19" s="621"/>
      <c r="O19" s="622"/>
    </row>
    <row r="20" spans="2:15" ht="18.75" x14ac:dyDescent="0.3">
      <c r="B20" s="646" t="s">
        <v>301</v>
      </c>
      <c r="C20" s="646"/>
      <c r="D20" s="646"/>
      <c r="E20" s="646"/>
      <c r="F20" s="646"/>
      <c r="G20" s="646"/>
      <c r="J20" s="623"/>
      <c r="K20" s="623"/>
      <c r="L20" s="620"/>
      <c r="M20" s="622"/>
      <c r="N20" s="620"/>
      <c r="O20" s="622"/>
    </row>
    <row r="21" spans="2:15" ht="39" customHeight="1" x14ac:dyDescent="0.3">
      <c r="B21" s="640" t="s">
        <v>386</v>
      </c>
      <c r="C21" s="641"/>
      <c r="D21" s="641"/>
      <c r="E21" s="641"/>
      <c r="F21" s="641"/>
      <c r="G21" s="642"/>
      <c r="J21" s="624"/>
      <c r="K21" s="624"/>
      <c r="L21" s="269"/>
      <c r="M21" s="269"/>
      <c r="N21" s="269"/>
      <c r="O21" s="269"/>
    </row>
    <row r="22" spans="2:15" ht="18.75" x14ac:dyDescent="0.3">
      <c r="B22" s="597" t="s">
        <v>155</v>
      </c>
      <c r="C22" s="271" t="s">
        <v>314</v>
      </c>
      <c r="D22" s="271" t="s">
        <v>315</v>
      </c>
      <c r="E22" s="271" t="s">
        <v>316</v>
      </c>
      <c r="F22" s="271" t="s">
        <v>317</v>
      </c>
      <c r="G22" s="271" t="s">
        <v>318</v>
      </c>
      <c r="J22" s="36"/>
      <c r="K22" s="8"/>
      <c r="L22" s="8"/>
      <c r="M22" s="8"/>
      <c r="N22" s="8"/>
      <c r="O22" s="8"/>
    </row>
    <row r="23" spans="2:15" ht="18.75" x14ac:dyDescent="0.3">
      <c r="B23" s="598"/>
      <c r="C23" s="193" t="s">
        <v>319</v>
      </c>
      <c r="D23" s="193" t="s">
        <v>320</v>
      </c>
      <c r="E23" s="193" t="s">
        <v>27</v>
      </c>
      <c r="F23" s="193" t="s">
        <v>27</v>
      </c>
      <c r="G23" s="193" t="s">
        <v>320</v>
      </c>
    </row>
    <row r="24" spans="2:15" ht="15.75" x14ac:dyDescent="0.25">
      <c r="B24" s="272" t="s">
        <v>387</v>
      </c>
      <c r="C24" s="3">
        <v>25000</v>
      </c>
      <c r="D24" s="3">
        <v>10.5</v>
      </c>
      <c r="E24" s="3">
        <v>120</v>
      </c>
      <c r="F24" s="3">
        <v>19</v>
      </c>
      <c r="G24" s="3">
        <v>0.23</v>
      </c>
    </row>
    <row r="25" spans="2:15" ht="15.75" x14ac:dyDescent="0.25">
      <c r="B25" s="272" t="s">
        <v>388</v>
      </c>
      <c r="C25" s="273">
        <v>40000</v>
      </c>
      <c r="D25" s="273">
        <v>10.5</v>
      </c>
      <c r="E25" s="273">
        <v>170</v>
      </c>
      <c r="F25" s="273">
        <v>22</v>
      </c>
      <c r="G25" s="273">
        <v>0.28000000000000003</v>
      </c>
      <c r="J25" s="269"/>
      <c r="K25" s="269"/>
      <c r="L25" s="269"/>
      <c r="M25" s="269"/>
      <c r="N25" s="269"/>
      <c r="O25" s="269"/>
    </row>
    <row r="27" spans="2:15" ht="18" x14ac:dyDescent="0.25">
      <c r="B27" s="203" t="s">
        <v>389</v>
      </c>
      <c r="C27" s="203" t="s">
        <v>390</v>
      </c>
      <c r="D27" s="203" t="s">
        <v>273</v>
      </c>
      <c r="E27" s="203" t="s">
        <v>391</v>
      </c>
      <c r="F27" s="203" t="s">
        <v>392</v>
      </c>
      <c r="G27" s="203" t="s">
        <v>393</v>
      </c>
    </row>
    <row r="28" spans="2:15" ht="18" x14ac:dyDescent="0.25">
      <c r="B28" s="203" t="s">
        <v>394</v>
      </c>
      <c r="C28" s="203">
        <f>F24*8760</f>
        <v>166440</v>
      </c>
      <c r="D28" s="274">
        <v>0.33</v>
      </c>
      <c r="E28" s="203">
        <v>7000</v>
      </c>
      <c r="F28" s="275">
        <f>(C28+E24*POWER(D28, 2)*E28)*2</f>
        <v>515832</v>
      </c>
      <c r="G28" s="203">
        <f>15*F28</f>
        <v>7737480</v>
      </c>
      <c r="H28" s="203" t="s">
        <v>395</v>
      </c>
    </row>
    <row r="29" spans="2:15" ht="18" x14ac:dyDescent="0.25">
      <c r="B29" s="203" t="s">
        <v>396</v>
      </c>
      <c r="C29" s="203">
        <f>F25*8760</f>
        <v>192720</v>
      </c>
      <c r="D29" s="203">
        <v>0.52</v>
      </c>
      <c r="E29" s="203">
        <v>7000</v>
      </c>
      <c r="F29" s="203">
        <f>(C29+E25*POWER(D29, 2)*E29)*2</f>
        <v>1028992</v>
      </c>
      <c r="G29" s="203">
        <f>15*F29</f>
        <v>15434880</v>
      </c>
      <c r="H29" s="203">
        <f>G28/1000</f>
        <v>7737.48</v>
      </c>
    </row>
    <row r="30" spans="2:15" ht="18" x14ac:dyDescent="0.25">
      <c r="B30" s="203"/>
      <c r="C30" s="203"/>
      <c r="D30" s="203"/>
      <c r="E30" s="203"/>
      <c r="F30" s="203"/>
      <c r="G30" s="203"/>
      <c r="H30" s="203">
        <f>G29/1000</f>
        <v>15434.88</v>
      </c>
    </row>
    <row r="31" spans="2:15" ht="18" x14ac:dyDescent="0.25">
      <c r="B31" s="203" t="s">
        <v>397</v>
      </c>
      <c r="C31" s="274">
        <f>0.125*M25+K9+H29</f>
        <v>77203.08</v>
      </c>
      <c r="D31" s="203">
        <v>25</v>
      </c>
      <c r="E31" s="203"/>
      <c r="F31" s="203"/>
      <c r="G31" s="203"/>
      <c r="H31" s="203"/>
    </row>
    <row r="32" spans="2:15" ht="18" x14ac:dyDescent="0.25">
      <c r="B32" s="203"/>
      <c r="C32" s="274">
        <f>0.125*O25+K10+H30</f>
        <v>15434.88</v>
      </c>
      <c r="D32" s="203">
        <v>40</v>
      </c>
      <c r="E32" s="203"/>
      <c r="F32" s="203"/>
      <c r="G32" s="203"/>
      <c r="H32" s="203"/>
    </row>
    <row r="33" spans="1:17" ht="18" x14ac:dyDescent="0.25">
      <c r="B33" s="203"/>
      <c r="C33" s="203"/>
      <c r="D33" s="203"/>
      <c r="E33" s="203"/>
      <c r="F33" s="203"/>
      <c r="G33" s="203"/>
      <c r="H33" s="203"/>
    </row>
    <row r="34" spans="1:17" ht="18" x14ac:dyDescent="0.25">
      <c r="B34" s="203" t="s">
        <v>398</v>
      </c>
      <c r="C34" s="203"/>
      <c r="D34" s="203">
        <f>G10-E10</f>
        <v>67400</v>
      </c>
      <c r="E34" s="203">
        <f>K9-K8</f>
        <v>9705.5999999999985</v>
      </c>
      <c r="F34" s="203">
        <f>D34/E34</f>
        <v>6.9444444444444455</v>
      </c>
      <c r="G34" s="203">
        <f>1/F34</f>
        <v>0.14399999999999999</v>
      </c>
      <c r="H34" s="203"/>
      <c r="L34">
        <v>59639</v>
      </c>
      <c r="M34">
        <v>86</v>
      </c>
      <c r="N34">
        <f>L34/M34</f>
        <v>693.47674418604652</v>
      </c>
      <c r="O34">
        <v>46.5</v>
      </c>
    </row>
    <row r="35" spans="1:17" ht="18" x14ac:dyDescent="0.25">
      <c r="H35" s="203"/>
      <c r="L35">
        <v>56000</v>
      </c>
      <c r="M35">
        <v>86</v>
      </c>
      <c r="N35">
        <f>L35/M35</f>
        <v>651.16279069767438</v>
      </c>
      <c r="O35">
        <v>176</v>
      </c>
    </row>
    <row r="36" spans="1:17" x14ac:dyDescent="0.25">
      <c r="O36">
        <f>SUM(O34:O35)</f>
        <v>222.5</v>
      </c>
      <c r="P36">
        <f>O36*N34</f>
        <v>154298.57558139536</v>
      </c>
      <c r="Q36">
        <f>0.8*P36</f>
        <v>123438.86046511629</v>
      </c>
    </row>
    <row r="37" spans="1:17" x14ac:dyDescent="0.25">
      <c r="B37">
        <v>17183.55</v>
      </c>
      <c r="C37">
        <f>B37*6.87*8760</f>
        <v>1034126659.26</v>
      </c>
      <c r="D37">
        <f>C37*0.001</f>
        <v>1034126.65926</v>
      </c>
      <c r="F37">
        <f>B37*0.05</f>
        <v>859.17750000000001</v>
      </c>
    </row>
    <row r="38" spans="1:17" x14ac:dyDescent="0.25">
      <c r="A38" t="s">
        <v>125</v>
      </c>
      <c r="C38">
        <f>B37*8760</f>
        <v>150527898</v>
      </c>
      <c r="N38">
        <v>66</v>
      </c>
      <c r="O38">
        <f>N38*N35</f>
        <v>42976.744186046511</v>
      </c>
      <c r="Q38">
        <f>0.8*O38</f>
        <v>34381.395348837214</v>
      </c>
    </row>
    <row r="39" spans="1:17" ht="15.75" x14ac:dyDescent="0.25">
      <c r="B39" s="5">
        <v>3638.68</v>
      </c>
      <c r="C39">
        <f>B39*6.87*8760</f>
        <v>218980128.81599998</v>
      </c>
      <c r="D39">
        <f>C39*0.001</f>
        <v>218980.12881599998</v>
      </c>
      <c r="G39" s="5"/>
      <c r="Q39">
        <f>SUM(Q36:Q38)</f>
        <v>157820.2558139535</v>
      </c>
    </row>
    <row r="40" spans="1:17" ht="18.75" x14ac:dyDescent="0.3">
      <c r="A40" t="s">
        <v>131</v>
      </c>
      <c r="B40" s="190"/>
      <c r="C40">
        <f>B39*8760</f>
        <v>31874836.799999997</v>
      </c>
      <c r="D40">
        <f>C40*0.001</f>
        <v>31874.836799999997</v>
      </c>
      <c r="E40" s="190"/>
      <c r="F40" s="190"/>
    </row>
    <row r="41" spans="1:17" ht="18.75" x14ac:dyDescent="0.3">
      <c r="B41" s="190"/>
      <c r="C41" s="190"/>
      <c r="D41" s="190"/>
      <c r="E41" s="190"/>
      <c r="F41" s="190"/>
    </row>
    <row r="42" spans="1:17" ht="18" customHeight="1" x14ac:dyDescent="0.3">
      <c r="A42" s="599" t="s">
        <v>399</v>
      </c>
      <c r="B42" s="599"/>
      <c r="C42" s="599"/>
      <c r="D42" s="599"/>
      <c r="E42" s="599"/>
      <c r="F42" s="599"/>
    </row>
    <row r="43" spans="1:17" ht="16.899999999999999" customHeight="1" x14ac:dyDescent="0.3">
      <c r="A43" s="600" t="s">
        <v>400</v>
      </c>
      <c r="B43" s="601"/>
      <c r="C43" s="601"/>
      <c r="D43" s="601"/>
      <c r="E43" s="601"/>
      <c r="F43" s="602"/>
    </row>
    <row r="44" spans="1:17" ht="27" customHeight="1" x14ac:dyDescent="0.25">
      <c r="A44" s="633" t="s">
        <v>370</v>
      </c>
      <c r="B44" s="625" t="s">
        <v>401</v>
      </c>
      <c r="C44" s="625" t="s">
        <v>372</v>
      </c>
      <c r="D44" s="636"/>
      <c r="E44" s="625" t="s">
        <v>373</v>
      </c>
      <c r="F44" s="636"/>
    </row>
    <row r="45" spans="1:17" ht="47.25" x14ac:dyDescent="0.25">
      <c r="A45" s="634"/>
      <c r="B45" s="635"/>
      <c r="C45" s="276" t="s">
        <v>281</v>
      </c>
      <c r="D45" s="276" t="s">
        <v>402</v>
      </c>
      <c r="E45" s="276" t="s">
        <v>281</v>
      </c>
      <c r="F45" s="277" t="s">
        <v>376</v>
      </c>
      <c r="I45" s="638" t="s">
        <v>403</v>
      </c>
      <c r="J45" s="639"/>
    </row>
    <row r="46" spans="1:17" ht="18.75" x14ac:dyDescent="0.25">
      <c r="A46" s="278" t="s">
        <v>404</v>
      </c>
      <c r="B46" s="278">
        <v>2030</v>
      </c>
      <c r="C46" s="276">
        <v>24</v>
      </c>
      <c r="D46" s="261">
        <f t="shared" ref="D46:D54" si="0">B46*C46</f>
        <v>48720</v>
      </c>
      <c r="E46" s="276">
        <v>26</v>
      </c>
      <c r="F46" s="276">
        <f t="shared" ref="F46" si="1">E46*B46</f>
        <v>52780</v>
      </c>
      <c r="I46" s="638" t="s">
        <v>405</v>
      </c>
      <c r="J46" s="639"/>
    </row>
    <row r="47" spans="1:17" ht="24.6" customHeight="1" x14ac:dyDescent="0.3">
      <c r="A47" s="279" t="s">
        <v>691</v>
      </c>
      <c r="B47" s="280">
        <v>1.5489999999999999</v>
      </c>
      <c r="C47" s="280">
        <v>269</v>
      </c>
      <c r="D47" s="280">
        <f t="shared" si="0"/>
        <v>416.68099999999998</v>
      </c>
      <c r="E47" s="374" t="s">
        <v>241</v>
      </c>
      <c r="F47" s="393" t="s">
        <v>241</v>
      </c>
      <c r="G47" s="399" t="s">
        <v>683</v>
      </c>
    </row>
    <row r="48" spans="1:17" ht="18.75" x14ac:dyDescent="0.3">
      <c r="A48" s="279" t="s">
        <v>692</v>
      </c>
      <c r="B48" s="280">
        <v>1.5489999999999999</v>
      </c>
      <c r="C48" s="280">
        <v>271</v>
      </c>
      <c r="D48" s="280">
        <f t="shared" si="0"/>
        <v>419.779</v>
      </c>
      <c r="E48" s="374" t="s">
        <v>241</v>
      </c>
      <c r="F48" s="393" t="s">
        <v>241</v>
      </c>
      <c r="G48" s="399" t="s">
        <v>683</v>
      </c>
    </row>
    <row r="49" spans="1:19" ht="18.75" x14ac:dyDescent="0.3">
      <c r="A49" s="279" t="s">
        <v>693</v>
      </c>
      <c r="B49" s="280">
        <v>1.5489999999999999</v>
      </c>
      <c r="C49" s="280">
        <v>144</v>
      </c>
      <c r="D49" s="280">
        <f t="shared" si="0"/>
        <v>223.05599999999998</v>
      </c>
      <c r="E49" s="374" t="s">
        <v>241</v>
      </c>
      <c r="F49" s="393" t="s">
        <v>241</v>
      </c>
      <c r="G49" s="399" t="s">
        <v>683</v>
      </c>
      <c r="I49" s="637" t="s">
        <v>406</v>
      </c>
      <c r="J49" s="637"/>
      <c r="K49" s="637"/>
      <c r="L49" s="637"/>
      <c r="M49" s="637"/>
    </row>
    <row r="50" spans="1:19" ht="18.75" x14ac:dyDescent="0.3">
      <c r="A50" s="279" t="s">
        <v>694</v>
      </c>
      <c r="B50" s="280">
        <v>1.5489999999999999</v>
      </c>
      <c r="C50" s="280">
        <v>94</v>
      </c>
      <c r="D50" s="280">
        <f t="shared" si="0"/>
        <v>145.60599999999999</v>
      </c>
      <c r="E50" s="374" t="s">
        <v>241</v>
      </c>
      <c r="F50" s="393" t="s">
        <v>241</v>
      </c>
      <c r="G50" s="399" t="s">
        <v>683</v>
      </c>
      <c r="I50" s="345" t="s">
        <v>407</v>
      </c>
      <c r="J50" s="345" t="s">
        <v>408</v>
      </c>
      <c r="K50" s="345" t="s">
        <v>409</v>
      </c>
      <c r="L50" s="344" t="s">
        <v>410</v>
      </c>
      <c r="M50" s="345" t="s">
        <v>411</v>
      </c>
    </row>
    <row r="51" spans="1:19" ht="18.75" x14ac:dyDescent="0.3">
      <c r="A51" s="279" t="s">
        <v>695</v>
      </c>
      <c r="B51" s="280">
        <v>3.14</v>
      </c>
      <c r="C51" s="280">
        <v>44</v>
      </c>
      <c r="D51" s="280">
        <f t="shared" si="0"/>
        <v>138.16</v>
      </c>
      <c r="E51" s="280">
        <v>44</v>
      </c>
      <c r="F51" s="394">
        <f>B51*E51</f>
        <v>138.16</v>
      </c>
      <c r="G51" s="399" t="s">
        <v>684</v>
      </c>
      <c r="I51" s="348" t="s">
        <v>666</v>
      </c>
      <c r="J51" s="347">
        <v>3</v>
      </c>
      <c r="K51" s="347">
        <v>95</v>
      </c>
      <c r="L51" s="347">
        <v>3.2000000000000003E-4</v>
      </c>
      <c r="M51" s="347">
        <v>214</v>
      </c>
    </row>
    <row r="52" spans="1:19" ht="18.75" x14ac:dyDescent="0.3">
      <c r="A52" s="279" t="s">
        <v>696</v>
      </c>
      <c r="B52" s="280">
        <v>1.5489999999999999</v>
      </c>
      <c r="C52" s="280">
        <v>289</v>
      </c>
      <c r="D52" s="280">
        <f t="shared" si="0"/>
        <v>447.661</v>
      </c>
      <c r="E52" s="374" t="s">
        <v>241</v>
      </c>
      <c r="F52" s="393" t="s">
        <v>241</v>
      </c>
      <c r="G52" s="399" t="s">
        <v>683</v>
      </c>
      <c r="I52" s="346" t="s">
        <v>683</v>
      </c>
      <c r="J52" s="351">
        <v>3</v>
      </c>
      <c r="K52" s="351">
        <v>70</v>
      </c>
      <c r="L52" s="351">
        <v>4.4299999999999998E-4</v>
      </c>
      <c r="M52" s="351">
        <v>180</v>
      </c>
    </row>
    <row r="53" spans="1:19" ht="18.75" x14ac:dyDescent="0.3">
      <c r="A53" s="279" t="s">
        <v>697</v>
      </c>
      <c r="B53" s="280">
        <v>1.5489999999999999</v>
      </c>
      <c r="C53" s="276">
        <v>61</v>
      </c>
      <c r="D53" s="278">
        <f t="shared" si="0"/>
        <v>94.48899999999999</v>
      </c>
      <c r="E53" s="374" t="s">
        <v>241</v>
      </c>
      <c r="F53" s="393" t="s">
        <v>241</v>
      </c>
      <c r="G53" s="399" t="s">
        <v>683</v>
      </c>
      <c r="I53" s="345" t="s">
        <v>412</v>
      </c>
      <c r="J53" s="345">
        <v>3</v>
      </c>
      <c r="K53" s="345">
        <v>300</v>
      </c>
      <c r="L53" s="345">
        <v>1.2899999999999999E-4</v>
      </c>
      <c r="M53" s="345">
        <v>424</v>
      </c>
    </row>
    <row r="54" spans="1:19" ht="15.75" x14ac:dyDescent="0.25">
      <c r="A54" s="47" t="s">
        <v>413</v>
      </c>
      <c r="B54" s="281">
        <v>6.9</v>
      </c>
      <c r="C54" s="281">
        <v>15</v>
      </c>
      <c r="D54" s="281">
        <f t="shared" si="0"/>
        <v>103.5</v>
      </c>
      <c r="E54" s="281">
        <v>15</v>
      </c>
      <c r="F54" s="338">
        <f t="shared" ref="F54:F63" si="2">B54*E54</f>
        <v>103.5</v>
      </c>
      <c r="G54" s="400" t="s">
        <v>412</v>
      </c>
    </row>
    <row r="55" spans="1:19" ht="15.75" x14ac:dyDescent="0.25">
      <c r="A55" s="371" t="s">
        <v>689</v>
      </c>
      <c r="B55" s="280">
        <v>3.14</v>
      </c>
      <c r="C55" s="374" t="s">
        <v>241</v>
      </c>
      <c r="D55" s="374" t="s">
        <v>241</v>
      </c>
      <c r="E55" s="280">
        <v>289</v>
      </c>
      <c r="F55" s="394">
        <f t="shared" si="2"/>
        <v>907.46</v>
      </c>
      <c r="G55" s="401" t="s">
        <v>684</v>
      </c>
    </row>
    <row r="56" spans="1:19" ht="15.75" x14ac:dyDescent="0.25">
      <c r="A56" s="371" t="s">
        <v>690</v>
      </c>
      <c r="B56" s="373">
        <v>3.14</v>
      </c>
      <c r="C56" s="374" t="s">
        <v>241</v>
      </c>
      <c r="D56" s="374" t="s">
        <v>241</v>
      </c>
      <c r="E56" s="276">
        <v>61</v>
      </c>
      <c r="F56" s="395">
        <f t="shared" si="2"/>
        <v>191.54000000000002</v>
      </c>
      <c r="G56" s="401" t="s">
        <v>684</v>
      </c>
      <c r="K56" s="187" t="s">
        <v>414</v>
      </c>
    </row>
    <row r="57" spans="1:19" ht="19.899999999999999" customHeight="1" x14ac:dyDescent="0.25">
      <c r="A57" s="370" t="s">
        <v>698</v>
      </c>
      <c r="B57" s="280">
        <v>1.5489999999999999</v>
      </c>
      <c r="C57" s="374" t="s">
        <v>241</v>
      </c>
      <c r="D57" s="374" t="s">
        <v>241</v>
      </c>
      <c r="E57" s="280">
        <v>269</v>
      </c>
      <c r="F57" s="394">
        <f t="shared" si="2"/>
        <v>416.68099999999998</v>
      </c>
      <c r="G57" s="401" t="s">
        <v>683</v>
      </c>
      <c r="I57" s="311" t="s">
        <v>415</v>
      </c>
      <c r="K57" s="187" t="s">
        <v>416</v>
      </c>
    </row>
    <row r="58" spans="1:19" ht="18.75" customHeight="1" x14ac:dyDescent="0.25">
      <c r="A58" s="328" t="s">
        <v>702</v>
      </c>
      <c r="B58" s="373">
        <v>1.5489999999999999</v>
      </c>
      <c r="C58" s="374" t="s">
        <v>241</v>
      </c>
      <c r="D58" s="374" t="s">
        <v>241</v>
      </c>
      <c r="E58" s="280">
        <v>271</v>
      </c>
      <c r="F58" s="394">
        <f t="shared" si="2"/>
        <v>419.779</v>
      </c>
      <c r="G58" s="401" t="s">
        <v>683</v>
      </c>
      <c r="I58" s="311">
        <v>0.42</v>
      </c>
    </row>
    <row r="59" spans="1:19" ht="15.75" x14ac:dyDescent="0.25">
      <c r="A59" s="328" t="s">
        <v>701</v>
      </c>
      <c r="B59" s="373">
        <v>3.14</v>
      </c>
      <c r="C59" s="374" t="s">
        <v>241</v>
      </c>
      <c r="D59" s="374" t="s">
        <v>241</v>
      </c>
      <c r="E59" s="280">
        <v>144</v>
      </c>
      <c r="F59" s="394">
        <f t="shared" si="2"/>
        <v>452.16</v>
      </c>
      <c r="G59" s="401" t="s">
        <v>684</v>
      </c>
    </row>
    <row r="60" spans="1:19" ht="15.75" x14ac:dyDescent="0.25">
      <c r="A60" s="328" t="s">
        <v>700</v>
      </c>
      <c r="B60" s="280">
        <v>1.5489999999999999</v>
      </c>
      <c r="C60" s="374" t="s">
        <v>241</v>
      </c>
      <c r="D60" s="374" t="s">
        <v>241</v>
      </c>
      <c r="E60" s="280">
        <v>94</v>
      </c>
      <c r="F60" s="394">
        <f t="shared" si="2"/>
        <v>145.60599999999999</v>
      </c>
      <c r="G60" s="401" t="s">
        <v>683</v>
      </c>
    </row>
    <row r="61" spans="1:19" ht="15.75" x14ac:dyDescent="0.25">
      <c r="A61" s="328" t="s">
        <v>699</v>
      </c>
      <c r="B61" s="280">
        <v>1.5489999999999999</v>
      </c>
      <c r="C61" s="374">
        <v>44</v>
      </c>
      <c r="D61" s="375">
        <f>B61*C61</f>
        <v>68.155999999999992</v>
      </c>
      <c r="E61" s="328">
        <v>44</v>
      </c>
      <c r="F61" s="396">
        <f t="shared" si="2"/>
        <v>68.155999999999992</v>
      </c>
      <c r="G61" s="401" t="s">
        <v>683</v>
      </c>
    </row>
    <row r="62" spans="1:19" ht="16.5" thickBot="1" x14ac:dyDescent="0.3">
      <c r="A62" s="376" t="s">
        <v>703</v>
      </c>
      <c r="B62" s="377">
        <v>3.14</v>
      </c>
      <c r="C62" s="378">
        <v>250</v>
      </c>
      <c r="D62" s="379">
        <f>B62*C62</f>
        <v>785</v>
      </c>
      <c r="E62" s="376">
        <v>43</v>
      </c>
      <c r="F62" s="397">
        <f t="shared" si="2"/>
        <v>135.02000000000001</v>
      </c>
      <c r="G62" s="401" t="s">
        <v>684</v>
      </c>
    </row>
    <row r="63" spans="1:19" ht="26.25" customHeight="1" x14ac:dyDescent="0.3">
      <c r="A63" s="328" t="s">
        <v>704</v>
      </c>
      <c r="B63" s="370">
        <v>3.14</v>
      </c>
      <c r="C63" s="374" t="s">
        <v>241</v>
      </c>
      <c r="D63" s="392" t="s">
        <v>241</v>
      </c>
      <c r="E63" s="328">
        <v>49</v>
      </c>
      <c r="F63" s="398">
        <f t="shared" si="2"/>
        <v>153.86000000000001</v>
      </c>
      <c r="G63" s="401" t="s">
        <v>684</v>
      </c>
      <c r="O63" s="284" t="s">
        <v>407</v>
      </c>
      <c r="P63" s="283" t="s">
        <v>419</v>
      </c>
      <c r="Q63" s="283" t="s">
        <v>420</v>
      </c>
      <c r="R63" s="283" t="s">
        <v>421</v>
      </c>
      <c r="S63" s="283" t="s">
        <v>422</v>
      </c>
    </row>
    <row r="64" spans="1:19" ht="19.5" thickBot="1" x14ac:dyDescent="0.35">
      <c r="A64" s="328"/>
      <c r="B64" s="370"/>
      <c r="C64" s="374"/>
      <c r="D64" s="392"/>
      <c r="E64" s="328"/>
      <c r="F64" s="392"/>
      <c r="O64" s="287"/>
      <c r="P64" s="286"/>
      <c r="Q64" s="286"/>
      <c r="R64" s="286"/>
      <c r="S64" s="286"/>
    </row>
    <row r="65" spans="1:19" ht="19.5" thickBot="1" x14ac:dyDescent="0.35">
      <c r="A65" s="328"/>
      <c r="B65" s="370"/>
      <c r="C65" s="374"/>
      <c r="D65" s="392"/>
      <c r="E65" s="328"/>
      <c r="F65" s="392"/>
      <c r="O65" s="289" t="s">
        <v>426</v>
      </c>
      <c r="P65" s="288">
        <v>3</v>
      </c>
      <c r="Q65" s="288">
        <v>35</v>
      </c>
      <c r="R65" s="288">
        <v>5.4000000000000001E-4</v>
      </c>
      <c r="S65" s="192">
        <v>147</v>
      </c>
    </row>
    <row r="66" spans="1:19" ht="17.25" customHeight="1" x14ac:dyDescent="0.3">
      <c r="A66" s="368" t="s">
        <v>380</v>
      </c>
      <c r="B66" s="369">
        <v>2000</v>
      </c>
      <c r="C66" s="369">
        <v>5</v>
      </c>
      <c r="D66" s="369">
        <f>B66*C66</f>
        <v>10000</v>
      </c>
      <c r="E66" s="369" t="s">
        <v>241</v>
      </c>
      <c r="F66" s="369" t="s">
        <v>241</v>
      </c>
      <c r="G66" s="284" t="s">
        <v>407</v>
      </c>
      <c r="H66" s="283" t="s">
        <v>419</v>
      </c>
      <c r="I66" s="283" t="s">
        <v>420</v>
      </c>
      <c r="J66" s="283" t="s">
        <v>421</v>
      </c>
      <c r="K66" s="283" t="s">
        <v>422</v>
      </c>
    </row>
    <row r="67" spans="1:19" ht="18" customHeight="1" thickBot="1" x14ac:dyDescent="0.35">
      <c r="A67" s="262" t="s">
        <v>381</v>
      </c>
      <c r="B67" s="264">
        <v>3700</v>
      </c>
      <c r="C67" s="264" t="s">
        <v>241</v>
      </c>
      <c r="D67" s="264" t="s">
        <v>241</v>
      </c>
      <c r="E67" s="264">
        <v>2</v>
      </c>
      <c r="F67" s="264">
        <f>B67*E67</f>
        <v>7400</v>
      </c>
      <c r="G67" s="287"/>
      <c r="H67" s="286"/>
      <c r="I67" s="286"/>
      <c r="J67" s="286"/>
      <c r="K67" s="286"/>
    </row>
    <row r="68" spans="1:19" ht="19.5" thickBot="1" x14ac:dyDescent="0.35">
      <c r="A68" s="263" t="s">
        <v>384</v>
      </c>
      <c r="B68" s="261"/>
      <c r="C68" s="261"/>
      <c r="D68" s="261">
        <f>SUM(D46:D67)</f>
        <v>61562.088000000003</v>
      </c>
      <c r="E68" s="261"/>
      <c r="F68" s="261">
        <f>SUM(F46:F67)</f>
        <v>63311.922000000006</v>
      </c>
      <c r="G68" s="289" t="s">
        <v>431</v>
      </c>
      <c r="H68" s="288">
        <v>3</v>
      </c>
      <c r="I68" s="288">
        <v>240</v>
      </c>
      <c r="J68" s="288">
        <v>1.2799999999999999E-4</v>
      </c>
      <c r="K68" s="192">
        <v>389</v>
      </c>
    </row>
    <row r="69" spans="1:19" ht="23.45" customHeight="1" x14ac:dyDescent="0.3">
      <c r="A69" s="270"/>
      <c r="B69" s="270"/>
      <c r="C69" s="270"/>
      <c r="D69" s="270"/>
      <c r="E69" s="270"/>
      <c r="F69" s="270"/>
    </row>
    <row r="70" spans="1:19" ht="23.45" customHeight="1" thickBot="1" x14ac:dyDescent="0.35">
      <c r="A70" s="628" t="s">
        <v>417</v>
      </c>
      <c r="B70" s="629"/>
      <c r="C70" s="630"/>
      <c r="D70" s="270"/>
      <c r="E70" s="270"/>
      <c r="F70" s="270"/>
    </row>
    <row r="71" spans="1:19" ht="23.45" customHeight="1" x14ac:dyDescent="0.3">
      <c r="A71" s="282" t="s">
        <v>418</v>
      </c>
      <c r="B71" s="631">
        <f>(5+9.4)/100</f>
        <v>0.14400000000000002</v>
      </c>
      <c r="C71" s="632"/>
      <c r="D71" s="283"/>
      <c r="E71" s="283"/>
      <c r="F71" s="190"/>
      <c r="O71">
        <v>4.4000000000000002E-4</v>
      </c>
    </row>
    <row r="72" spans="1:19" ht="23.45" customHeight="1" thickBot="1" x14ac:dyDescent="0.35">
      <c r="A72" s="285" t="s">
        <v>423</v>
      </c>
      <c r="B72" s="282">
        <f>B71*D68</f>
        <v>8864.9406720000006</v>
      </c>
      <c r="C72" s="282">
        <f>B71*F68</f>
        <v>9116.9167680000028</v>
      </c>
      <c r="D72" s="286"/>
      <c r="E72" s="286"/>
      <c r="F72" s="190"/>
    </row>
    <row r="73" spans="1:19" ht="23.45" customHeight="1" thickBot="1" x14ac:dyDescent="0.35">
      <c r="A73" s="282"/>
      <c r="B73" s="282" t="s">
        <v>424</v>
      </c>
      <c r="C73" s="282" t="s">
        <v>425</v>
      </c>
      <c r="D73" s="288"/>
      <c r="E73" s="192"/>
      <c r="F73" s="190"/>
    </row>
    <row r="74" spans="1:19" ht="18.75" customHeight="1" x14ac:dyDescent="0.3">
      <c r="A74" s="270"/>
      <c r="B74" s="270"/>
      <c r="C74" s="270"/>
      <c r="D74" s="270"/>
      <c r="E74" s="270"/>
      <c r="F74" s="270"/>
      <c r="G74" s="131" t="s">
        <v>432</v>
      </c>
      <c r="H74" s="131"/>
      <c r="I74" s="131" t="s">
        <v>433</v>
      </c>
      <c r="J74" s="174" t="s">
        <v>434</v>
      </c>
    </row>
    <row r="75" spans="1:19" ht="18.75" x14ac:dyDescent="0.3">
      <c r="A75" s="264"/>
      <c r="B75" s="264" t="s">
        <v>427</v>
      </c>
      <c r="C75" s="264"/>
      <c r="D75" s="264"/>
      <c r="E75" s="264"/>
      <c r="F75" s="270"/>
      <c r="G75" s="290"/>
      <c r="H75" s="291"/>
      <c r="I75" s="131"/>
      <c r="J75" s="174"/>
    </row>
    <row r="76" spans="1:19" ht="18.75" x14ac:dyDescent="0.3">
      <c r="A76" s="264"/>
      <c r="B76" s="264" t="s">
        <v>422</v>
      </c>
      <c r="C76" s="264" t="s">
        <v>428</v>
      </c>
      <c r="D76" s="264" t="s">
        <v>429</v>
      </c>
      <c r="E76" s="383" t="s">
        <v>430</v>
      </c>
      <c r="F76" s="190"/>
      <c r="G76" s="290"/>
      <c r="H76" s="291"/>
      <c r="I76" s="131"/>
      <c r="J76" s="174"/>
    </row>
    <row r="77" spans="1:19" ht="18.75" x14ac:dyDescent="0.3">
      <c r="A77" s="625" t="s">
        <v>424</v>
      </c>
      <c r="B77" s="264">
        <v>180</v>
      </c>
      <c r="C77" s="264">
        <f>L51*C47</f>
        <v>8.6080000000000004E-2</v>
      </c>
      <c r="D77" s="380">
        <v>8760</v>
      </c>
      <c r="E77" s="382">
        <f t="shared" ref="E77:E84" si="3">3*POWER(B77, 2)*C77*D77/1000</f>
        <v>73294.709760000012</v>
      </c>
      <c r="F77" s="349" t="s">
        <v>683</v>
      </c>
      <c r="G77" s="290"/>
      <c r="H77" s="291"/>
      <c r="I77" s="131"/>
      <c r="J77" s="174"/>
    </row>
    <row r="78" spans="1:19" ht="18.75" x14ac:dyDescent="0.3">
      <c r="A78" s="626"/>
      <c r="B78" s="264">
        <v>180</v>
      </c>
      <c r="C78" s="264">
        <f>L51*C48</f>
        <v>8.6720000000000005E-2</v>
      </c>
      <c r="D78" s="380">
        <v>8760</v>
      </c>
      <c r="E78" s="382">
        <f t="shared" si="3"/>
        <v>73839.651840000006</v>
      </c>
      <c r="F78" s="349" t="s">
        <v>683</v>
      </c>
      <c r="G78" s="290" t="s">
        <v>424</v>
      </c>
      <c r="H78" s="291"/>
      <c r="I78" s="131">
        <v>31</v>
      </c>
      <c r="J78" s="131">
        <f>E86*I78/1000</f>
        <v>13523.122768498559</v>
      </c>
    </row>
    <row r="79" spans="1:19" ht="19.5" thickBot="1" x14ac:dyDescent="0.35">
      <c r="A79" s="626"/>
      <c r="B79" s="264">
        <v>180</v>
      </c>
      <c r="C79" s="264">
        <f>L51*C49</f>
        <v>4.6080000000000003E-2</v>
      </c>
      <c r="D79" s="380">
        <v>8760</v>
      </c>
      <c r="E79" s="382">
        <f t="shared" si="3"/>
        <v>39235.829760000008</v>
      </c>
      <c r="F79" s="349" t="s">
        <v>683</v>
      </c>
      <c r="G79" s="290"/>
      <c r="H79" s="291"/>
      <c r="I79" s="131"/>
      <c r="J79" s="131"/>
    </row>
    <row r="80" spans="1:19" ht="23.25" customHeight="1" x14ac:dyDescent="0.3">
      <c r="A80" s="626"/>
      <c r="B80" s="264">
        <v>180</v>
      </c>
      <c r="C80" s="264">
        <f>L51*C50</f>
        <v>3.0080000000000003E-2</v>
      </c>
      <c r="D80" s="380">
        <v>8760</v>
      </c>
      <c r="E80" s="382">
        <f t="shared" si="3"/>
        <v>25612.277760000001</v>
      </c>
      <c r="F80" s="349" t="s">
        <v>683</v>
      </c>
      <c r="G80" s="131" t="s">
        <v>425</v>
      </c>
      <c r="H80" s="131"/>
      <c r="I80" s="131"/>
      <c r="J80" s="131">
        <f>E105*I78/1000</f>
        <v>14622.626797344001</v>
      </c>
      <c r="O80" s="284" t="s">
        <v>407</v>
      </c>
      <c r="P80" s="283" t="s">
        <v>419</v>
      </c>
      <c r="Q80" s="283" t="s">
        <v>420</v>
      </c>
      <c r="R80" s="283" t="s">
        <v>421</v>
      </c>
      <c r="S80" s="283" t="s">
        <v>422</v>
      </c>
    </row>
    <row r="81" spans="1:19" ht="19.5" thickBot="1" x14ac:dyDescent="0.35">
      <c r="A81" s="626"/>
      <c r="B81" s="264">
        <v>214</v>
      </c>
      <c r="C81" s="264">
        <f>C51*L52</f>
        <v>1.9491999999999999E-2</v>
      </c>
      <c r="D81" s="380">
        <v>8760</v>
      </c>
      <c r="E81" s="382">
        <f t="shared" si="3"/>
        <v>23458.990008959998</v>
      </c>
      <c r="F81" s="349" t="s">
        <v>684</v>
      </c>
      <c r="J81" t="s">
        <v>435</v>
      </c>
      <c r="O81" s="287"/>
      <c r="P81" s="286"/>
      <c r="Q81" s="286"/>
      <c r="R81" s="286"/>
      <c r="S81" s="286"/>
    </row>
    <row r="82" spans="1:19" ht="19.5" thickBot="1" x14ac:dyDescent="0.35">
      <c r="A82" s="626"/>
      <c r="B82" s="264">
        <v>180</v>
      </c>
      <c r="C82" s="264">
        <f>L51*C52</f>
        <v>9.2480000000000007E-2</v>
      </c>
      <c r="D82" s="380">
        <v>8760</v>
      </c>
      <c r="E82" s="382">
        <f t="shared" si="3"/>
        <v>78744.130560000005</v>
      </c>
      <c r="F82" s="349" t="s">
        <v>683</v>
      </c>
      <c r="O82" s="289" t="s">
        <v>436</v>
      </c>
      <c r="P82" s="288">
        <v>3</v>
      </c>
      <c r="Q82" s="288">
        <v>50</v>
      </c>
      <c r="R82" s="288">
        <v>6.2E-4</v>
      </c>
      <c r="S82" s="192">
        <v>146</v>
      </c>
    </row>
    <row r="83" spans="1:19" ht="18.75" x14ac:dyDescent="0.3">
      <c r="A83" s="626"/>
      <c r="B83" s="264">
        <v>180</v>
      </c>
      <c r="C83" s="264">
        <f>L51*C53</f>
        <v>1.9520000000000003E-2</v>
      </c>
      <c r="D83" s="380">
        <v>8760</v>
      </c>
      <c r="E83" s="382">
        <f t="shared" si="3"/>
        <v>16620.733440000004</v>
      </c>
      <c r="F83" s="349" t="s">
        <v>683</v>
      </c>
    </row>
    <row r="84" spans="1:19" ht="15.75" x14ac:dyDescent="0.25">
      <c r="A84" s="627"/>
      <c r="B84" s="387">
        <v>424</v>
      </c>
      <c r="C84" s="387">
        <f>C54*L53</f>
        <v>1.9349999999999999E-3</v>
      </c>
      <c r="D84" s="388">
        <v>8760</v>
      </c>
      <c r="E84" s="384">
        <f t="shared" si="3"/>
        <v>9141.9331968000006</v>
      </c>
      <c r="F84" s="381" t="s">
        <v>412</v>
      </c>
    </row>
    <row r="85" spans="1:19" ht="15.75" x14ac:dyDescent="0.25">
      <c r="A85" s="389"/>
      <c r="B85" s="382">
        <v>214</v>
      </c>
      <c r="C85" s="382">
        <f>C62*L51</f>
        <v>0.08</v>
      </c>
      <c r="D85" s="371">
        <v>8760</v>
      </c>
      <c r="E85" s="382">
        <f t="shared" ref="E85" si="4">3*POWER(B85, 2)*C85*D85/1000</f>
        <v>96281.510399999999</v>
      </c>
      <c r="F85" s="372" t="s">
        <v>684</v>
      </c>
    </row>
    <row r="86" spans="1:19" ht="15.75" x14ac:dyDescent="0.25">
      <c r="E86" s="391">
        <f>SUM(E77:E85)</f>
        <v>436229.76672575995</v>
      </c>
    </row>
    <row r="87" spans="1:19" ht="15.75" x14ac:dyDescent="0.25">
      <c r="E87" s="386"/>
    </row>
    <row r="88" spans="1:19" ht="15.75" x14ac:dyDescent="0.25">
      <c r="E88" s="386"/>
    </row>
    <row r="89" spans="1:19" ht="15.75" x14ac:dyDescent="0.25">
      <c r="E89" s="386"/>
    </row>
    <row r="90" spans="1:19" ht="15.75" x14ac:dyDescent="0.25">
      <c r="E90" s="386"/>
    </row>
    <row r="91" spans="1:19" ht="15.75" x14ac:dyDescent="0.25">
      <c r="E91" s="386"/>
    </row>
    <row r="92" spans="1:19" ht="15.75" x14ac:dyDescent="0.25">
      <c r="E92" s="386"/>
    </row>
    <row r="93" spans="1:19" ht="15.75" x14ac:dyDescent="0.25">
      <c r="E93" s="386"/>
    </row>
    <row r="94" spans="1:19" ht="15.75" x14ac:dyDescent="0.25">
      <c r="E94" s="386"/>
    </row>
    <row r="95" spans="1:19" ht="15.75" x14ac:dyDescent="0.25">
      <c r="B95" s="382">
        <v>214</v>
      </c>
      <c r="C95" s="382">
        <f>E63*L51</f>
        <v>1.5680000000000003E-2</v>
      </c>
      <c r="D95" s="371">
        <v>8760</v>
      </c>
      <c r="E95" s="382">
        <f t="shared" ref="E95" si="5">3*POWER(B95, 2)*C95*D95/1000</f>
        <v>18871.176038400004</v>
      </c>
      <c r="F95" s="372" t="s">
        <v>684</v>
      </c>
    </row>
    <row r="96" spans="1:19" ht="15.75" x14ac:dyDescent="0.25">
      <c r="A96" s="625" t="s">
        <v>425</v>
      </c>
      <c r="B96" s="264">
        <v>214</v>
      </c>
      <c r="C96" s="264">
        <f>L51*E55</f>
        <v>9.2480000000000007E-2</v>
      </c>
      <c r="D96" s="380">
        <v>8760</v>
      </c>
      <c r="E96" s="385">
        <f t="shared" ref="E96:E104" si="6">3*POWER(B96, 2)*C96*D96/1000</f>
        <v>111301.4260224</v>
      </c>
      <c r="F96" s="372" t="s">
        <v>684</v>
      </c>
    </row>
    <row r="97" spans="1:6" ht="15.75" x14ac:dyDescent="0.25">
      <c r="A97" s="626"/>
      <c r="B97" s="264">
        <v>214</v>
      </c>
      <c r="C97" s="264">
        <f>L51*E56</f>
        <v>1.9520000000000003E-2</v>
      </c>
      <c r="D97" s="380">
        <v>8760</v>
      </c>
      <c r="E97" s="382">
        <f t="shared" si="6"/>
        <v>23492.688537600003</v>
      </c>
      <c r="F97" s="372" t="s">
        <v>684</v>
      </c>
    </row>
    <row r="98" spans="1:6" ht="15.75" x14ac:dyDescent="0.25">
      <c r="A98" s="626"/>
      <c r="B98" s="264">
        <v>180</v>
      </c>
      <c r="C98" s="264">
        <f>L52*E57</f>
        <v>0.119167</v>
      </c>
      <c r="D98" s="380">
        <v>8760</v>
      </c>
      <c r="E98" s="382">
        <f t="shared" si="6"/>
        <v>101467.363824</v>
      </c>
      <c r="F98" s="372" t="s">
        <v>683</v>
      </c>
    </row>
    <row r="99" spans="1:6" ht="15.75" x14ac:dyDescent="0.25">
      <c r="A99" s="626"/>
      <c r="B99" s="264">
        <v>180</v>
      </c>
      <c r="C99" s="264">
        <f>L52*E58</f>
        <v>0.12005299999999999</v>
      </c>
      <c r="D99" s="380">
        <v>8760</v>
      </c>
      <c r="E99" s="382">
        <f t="shared" si="6"/>
        <v>102221.76801599999</v>
      </c>
      <c r="F99" s="372" t="s">
        <v>683</v>
      </c>
    </row>
    <row r="100" spans="1:6" ht="15.75" x14ac:dyDescent="0.25">
      <c r="A100" s="626"/>
      <c r="B100" s="264">
        <v>214</v>
      </c>
      <c r="C100" s="264">
        <f>L51*E59</f>
        <v>4.6080000000000003E-2</v>
      </c>
      <c r="D100" s="380">
        <v>8760</v>
      </c>
      <c r="E100" s="382">
        <f t="shared" si="6"/>
        <v>55458.149990400008</v>
      </c>
      <c r="F100" s="372" t="s">
        <v>684</v>
      </c>
    </row>
    <row r="101" spans="1:6" ht="15.75" x14ac:dyDescent="0.25">
      <c r="A101" s="626"/>
      <c r="B101" s="264">
        <v>180</v>
      </c>
      <c r="C101" s="264">
        <f>L52*E60</f>
        <v>4.1641999999999998E-2</v>
      </c>
      <c r="D101" s="380">
        <v>8760</v>
      </c>
      <c r="E101" s="382">
        <f t="shared" si="6"/>
        <v>35456.997023999997</v>
      </c>
      <c r="F101" s="372" t="s">
        <v>683</v>
      </c>
    </row>
    <row r="102" spans="1:6" ht="15.75" x14ac:dyDescent="0.25">
      <c r="A102" s="626"/>
      <c r="B102" s="264">
        <v>180</v>
      </c>
      <c r="C102" s="264">
        <f>L52*E61</f>
        <v>1.9491999999999999E-2</v>
      </c>
      <c r="D102" s="380">
        <v>8760</v>
      </c>
      <c r="E102" s="382">
        <f t="shared" si="6"/>
        <v>16596.892223999999</v>
      </c>
      <c r="F102" s="372" t="s">
        <v>683</v>
      </c>
    </row>
    <row r="103" spans="1:6" ht="15.75" x14ac:dyDescent="0.25">
      <c r="A103" s="627"/>
      <c r="B103" s="387">
        <v>424</v>
      </c>
      <c r="C103" s="387">
        <f>E54*L53</f>
        <v>1.9349999999999999E-3</v>
      </c>
      <c r="D103" s="388">
        <v>8760</v>
      </c>
      <c r="E103" s="384">
        <f t="shared" si="6"/>
        <v>9141.9331968000006</v>
      </c>
      <c r="F103" s="381" t="s">
        <v>412</v>
      </c>
    </row>
    <row r="104" spans="1:6" ht="15.75" x14ac:dyDescent="0.25">
      <c r="A104" s="389"/>
      <c r="B104" s="382">
        <v>214</v>
      </c>
      <c r="C104" s="382">
        <f>E62*L51</f>
        <v>1.3760000000000001E-2</v>
      </c>
      <c r="D104" s="371">
        <v>8760</v>
      </c>
      <c r="E104" s="382">
        <f t="shared" si="6"/>
        <v>16560.419788800002</v>
      </c>
      <c r="F104" s="372" t="s">
        <v>684</v>
      </c>
    </row>
    <row r="105" spans="1:6" ht="15.75" x14ac:dyDescent="0.25">
      <c r="E105" s="390">
        <f>SUM(E96:E104)</f>
        <v>471697.63862400001</v>
      </c>
    </row>
    <row r="107" spans="1:6" ht="56.25" x14ac:dyDescent="0.25">
      <c r="A107" s="292" t="s">
        <v>437</v>
      </c>
      <c r="B107" s="292"/>
      <c r="C107" s="292"/>
    </row>
    <row r="108" spans="1:6" ht="37.5" x14ac:dyDescent="0.3">
      <c r="A108" s="293"/>
      <c r="B108" s="294" t="s">
        <v>438</v>
      </c>
      <c r="C108" s="292" t="s">
        <v>439</v>
      </c>
    </row>
    <row r="109" spans="1:6" ht="18.75" x14ac:dyDescent="0.3">
      <c r="A109" s="293" t="s">
        <v>424</v>
      </c>
      <c r="B109" s="294">
        <v>0.125</v>
      </c>
      <c r="C109" s="293">
        <f>B109*D68+B72+J78</f>
        <v>30083.32444049856</v>
      </c>
    </row>
    <row r="110" spans="1:6" ht="18.75" x14ac:dyDescent="0.3">
      <c r="A110" s="293" t="s">
        <v>425</v>
      </c>
      <c r="B110" s="294"/>
      <c r="C110" s="293">
        <f>B109*F68+C72+J80</f>
        <v>31653.533815344006</v>
      </c>
    </row>
    <row r="111" spans="1:6" ht="18.75" x14ac:dyDescent="0.3">
      <c r="A111" s="293"/>
      <c r="B111" s="294"/>
      <c r="C111" s="293"/>
    </row>
  </sheetData>
  <mergeCells count="27">
    <mergeCell ref="E44:F44"/>
    <mergeCell ref="B22:B23"/>
    <mergeCell ref="C3:C4"/>
    <mergeCell ref="B3:B4"/>
    <mergeCell ref="A43:F43"/>
    <mergeCell ref="A42:F42"/>
    <mergeCell ref="B1:G1"/>
    <mergeCell ref="B2:G2"/>
    <mergeCell ref="F3:G3"/>
    <mergeCell ref="D3:E3"/>
    <mergeCell ref="B20:G20"/>
    <mergeCell ref="J19:O19"/>
    <mergeCell ref="N20:O20"/>
    <mergeCell ref="L20:M20"/>
    <mergeCell ref="K20:K21"/>
    <mergeCell ref="A96:A103"/>
    <mergeCell ref="A77:A84"/>
    <mergeCell ref="A70:C70"/>
    <mergeCell ref="B71:C71"/>
    <mergeCell ref="A44:A45"/>
    <mergeCell ref="B44:B45"/>
    <mergeCell ref="C44:D44"/>
    <mergeCell ref="I49:M49"/>
    <mergeCell ref="I46:J46"/>
    <mergeCell ref="I45:J45"/>
    <mergeCell ref="J20:J21"/>
    <mergeCell ref="B21:G21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"/>
  <sheetViews>
    <sheetView workbookViewId="0">
      <selection activeCell="N17" sqref="N17"/>
    </sheetView>
  </sheetViews>
  <sheetFormatPr defaultColWidth="9.140625" defaultRowHeight="15" x14ac:dyDescent="0.25"/>
  <cols>
    <col min="1" max="1" width="20.7109375" customWidth="1"/>
    <col min="4" max="4" width="12.28515625" customWidth="1"/>
    <col min="5" max="5" width="11.140625" customWidth="1"/>
    <col min="6" max="6" width="11.28515625" customWidth="1"/>
    <col min="9" max="9" width="11" customWidth="1"/>
  </cols>
  <sheetData>
    <row r="1" spans="1:9" ht="18.75" x14ac:dyDescent="0.25">
      <c r="A1" s="301" t="s">
        <v>440</v>
      </c>
      <c r="B1" s="433"/>
      <c r="C1" s="301"/>
      <c r="D1" s="301"/>
      <c r="E1" s="301"/>
      <c r="F1" s="301"/>
      <c r="G1" s="298"/>
      <c r="H1" s="298"/>
      <c r="I1" s="298"/>
    </row>
    <row r="2" spans="1:9" ht="18.75" x14ac:dyDescent="0.25">
      <c r="A2" s="653" t="s">
        <v>441</v>
      </c>
      <c r="B2" s="654"/>
      <c r="C2" s="654"/>
      <c r="D2" s="654"/>
      <c r="E2" s="654"/>
      <c r="F2" s="654"/>
      <c r="G2" s="654"/>
      <c r="H2" s="654"/>
      <c r="I2" s="655"/>
    </row>
    <row r="3" spans="1:9" ht="18" customHeight="1" x14ac:dyDescent="0.25">
      <c r="A3" s="638" t="s">
        <v>442</v>
      </c>
      <c r="B3" s="638" t="s">
        <v>443</v>
      </c>
      <c r="C3" s="638" t="s">
        <v>304</v>
      </c>
      <c r="D3" s="638" t="s">
        <v>444</v>
      </c>
      <c r="E3" s="638" t="s">
        <v>445</v>
      </c>
      <c r="F3" s="241" t="s">
        <v>446</v>
      </c>
      <c r="G3" s="638" t="s">
        <v>311</v>
      </c>
      <c r="H3" s="638" t="s">
        <v>447</v>
      </c>
      <c r="I3" s="639"/>
    </row>
    <row r="4" spans="1:9" ht="18.75" x14ac:dyDescent="0.25">
      <c r="A4" s="656"/>
      <c r="B4" s="656"/>
      <c r="C4" s="656"/>
      <c r="D4" s="656"/>
      <c r="E4" s="656"/>
      <c r="F4" s="249" t="s">
        <v>29</v>
      </c>
      <c r="G4" s="656"/>
      <c r="H4" s="249" t="s">
        <v>448</v>
      </c>
      <c r="I4" s="249" t="s">
        <v>449</v>
      </c>
    </row>
    <row r="5" spans="1:9" ht="18.75" x14ac:dyDescent="0.25">
      <c r="A5" s="131" t="s">
        <v>387</v>
      </c>
      <c r="B5" s="131">
        <v>25000</v>
      </c>
      <c r="C5" s="131">
        <v>2</v>
      </c>
      <c r="D5" s="250">
        <f>'Ф202-90-10кВ'!C17</f>
        <v>27712.35</v>
      </c>
      <c r="E5" s="250">
        <f>'Ф202-90-10кВ'!D17</f>
        <v>4081.0033804245031</v>
      </c>
      <c r="F5" s="297">
        <f>'Ф202-90-10кВ'!E17</f>
        <v>28011.228661262543</v>
      </c>
      <c r="G5" s="130">
        <f>F5/(2*B5)</f>
        <v>0.56022457322525088</v>
      </c>
      <c r="H5" s="130">
        <f>2*(E21+POWER(G5, 2)*D21)</f>
        <v>113.32437738689949</v>
      </c>
      <c r="I5" s="130">
        <f>2*(H21+POWER(G5, 2)*I21)</f>
        <v>1762.7207553384262</v>
      </c>
    </row>
    <row r="6" spans="1:9" ht="18.75" x14ac:dyDescent="0.25">
      <c r="A6" s="131" t="s">
        <v>388</v>
      </c>
      <c r="B6" s="131">
        <v>40000</v>
      </c>
      <c r="C6" s="131">
        <v>2</v>
      </c>
      <c r="D6" s="250">
        <f>D5</f>
        <v>27712.35</v>
      </c>
      <c r="E6" s="130">
        <f>E5</f>
        <v>4081.0033804245031</v>
      </c>
      <c r="F6" s="297">
        <f>SQRT(POWER(D6, 2)+POWER(E6, 2))</f>
        <v>28011.228661262543</v>
      </c>
      <c r="G6" s="130">
        <f>F6/(2*B6)</f>
        <v>0.35014035826578177</v>
      </c>
      <c r="H6" s="130">
        <f>2*(E22+POWER(G6, 2)*D22)</f>
        <v>85.683411965406606</v>
      </c>
      <c r="I6" s="130">
        <f>2*(H22+POWER(G6, 2)*I22)</f>
        <v>1253.8254720865161</v>
      </c>
    </row>
    <row r="7" spans="1:9" ht="18.75" x14ac:dyDescent="0.25">
      <c r="A7" s="433"/>
      <c r="B7" s="433"/>
      <c r="C7" s="301"/>
      <c r="D7" s="298"/>
      <c r="E7" s="298"/>
      <c r="F7" s="298"/>
      <c r="G7" s="298"/>
      <c r="H7" s="298"/>
      <c r="I7" s="298"/>
    </row>
    <row r="8" spans="1:9" ht="18.75" x14ac:dyDescent="0.25">
      <c r="A8" s="433"/>
      <c r="B8" s="301"/>
      <c r="C8" s="301"/>
      <c r="D8" s="298"/>
      <c r="E8" s="298"/>
      <c r="F8" s="298"/>
      <c r="G8" s="433"/>
      <c r="H8" s="433"/>
      <c r="I8" s="433"/>
    </row>
    <row r="9" spans="1:9" x14ac:dyDescent="0.25">
      <c r="A9" s="433"/>
      <c r="B9" s="433"/>
      <c r="C9" s="433"/>
      <c r="D9" s="433"/>
      <c r="E9" s="433"/>
      <c r="F9" s="433"/>
      <c r="G9" s="433"/>
      <c r="H9" s="433"/>
      <c r="I9" s="433"/>
    </row>
    <row r="10" spans="1:9" x14ac:dyDescent="0.25">
      <c r="A10" s="433"/>
      <c r="B10" s="433"/>
      <c r="C10" s="433"/>
      <c r="D10" s="433"/>
      <c r="E10" s="433"/>
      <c r="F10" s="433"/>
      <c r="G10" s="433"/>
      <c r="H10" s="433"/>
      <c r="I10" s="433"/>
    </row>
    <row r="11" spans="1:9" x14ac:dyDescent="0.25">
      <c r="A11" s="433"/>
      <c r="B11" s="433"/>
      <c r="C11" s="433"/>
      <c r="D11" s="433"/>
      <c r="E11" s="433"/>
      <c r="F11" s="433"/>
      <c r="G11" s="433"/>
      <c r="H11" s="433"/>
      <c r="I11" s="433"/>
    </row>
    <row r="12" spans="1:9" ht="18.75" x14ac:dyDescent="0.25">
      <c r="A12" s="433"/>
      <c r="B12" s="301"/>
      <c r="C12" s="301"/>
      <c r="D12" s="301"/>
      <c r="E12" s="301"/>
      <c r="F12" s="301"/>
      <c r="G12" s="298"/>
      <c r="H12" s="298"/>
      <c r="I12" s="298"/>
    </row>
    <row r="13" spans="1:9" ht="18.75" x14ac:dyDescent="0.25">
      <c r="A13" s="433"/>
      <c r="B13" s="301"/>
      <c r="C13" s="301"/>
      <c r="D13" s="301"/>
      <c r="E13" s="301"/>
      <c r="F13" s="301"/>
      <c r="G13" s="298"/>
      <c r="H13" s="298"/>
      <c r="I13" s="298"/>
    </row>
    <row r="14" spans="1:9" ht="18.75" x14ac:dyDescent="0.25">
      <c r="A14" s="433"/>
      <c r="B14" s="652"/>
      <c r="C14" s="652"/>
      <c r="D14" s="652"/>
      <c r="E14" s="652"/>
      <c r="F14" s="301"/>
      <c r="G14" s="652"/>
      <c r="H14" s="652"/>
      <c r="I14" s="652"/>
    </row>
    <row r="15" spans="1:9" ht="18.75" x14ac:dyDescent="0.25">
      <c r="A15" s="433"/>
      <c r="B15" s="652"/>
      <c r="C15" s="652"/>
      <c r="D15" s="652"/>
      <c r="E15" s="652"/>
      <c r="F15" s="301"/>
      <c r="G15" s="652"/>
      <c r="H15" s="301"/>
      <c r="I15" s="301"/>
    </row>
    <row r="16" spans="1:9" ht="18.75" x14ac:dyDescent="0.25">
      <c r="A16" s="652" t="s">
        <v>301</v>
      </c>
      <c r="B16" s="652"/>
      <c r="C16" s="652"/>
      <c r="D16" s="652"/>
      <c r="E16" s="652"/>
      <c r="F16" s="652"/>
      <c r="G16" s="298"/>
      <c r="H16" s="298"/>
      <c r="I16" s="298"/>
    </row>
    <row r="17" spans="1:9" ht="18.75" x14ac:dyDescent="0.25">
      <c r="A17" s="652"/>
      <c r="B17" s="652"/>
      <c r="C17" s="652"/>
      <c r="D17" s="652"/>
      <c r="E17" s="652"/>
      <c r="F17" s="652"/>
      <c r="G17" s="298"/>
      <c r="H17" s="298"/>
      <c r="I17" s="298"/>
    </row>
    <row r="18" spans="1:9" ht="18.600000000000001" customHeight="1" x14ac:dyDescent="0.25">
      <c r="A18" s="649" t="s">
        <v>386</v>
      </c>
      <c r="B18" s="650"/>
      <c r="C18" s="650"/>
      <c r="D18" s="650"/>
      <c r="E18" s="650"/>
      <c r="F18" s="651"/>
      <c r="G18" s="433"/>
      <c r="H18" s="434" t="s">
        <v>321</v>
      </c>
      <c r="I18" s="434" t="s">
        <v>322</v>
      </c>
    </row>
    <row r="19" spans="1:9" ht="18.75" x14ac:dyDescent="0.25">
      <c r="A19" s="647" t="s">
        <v>155</v>
      </c>
      <c r="B19" s="435" t="s">
        <v>314</v>
      </c>
      <c r="C19" s="435" t="s">
        <v>315</v>
      </c>
      <c r="D19" s="435" t="s">
        <v>316</v>
      </c>
      <c r="E19" s="435" t="s">
        <v>317</v>
      </c>
      <c r="F19" s="435" t="s">
        <v>318</v>
      </c>
      <c r="G19" s="433"/>
      <c r="H19" s="436"/>
      <c r="I19" s="436"/>
    </row>
    <row r="20" spans="1:9" ht="18.75" x14ac:dyDescent="0.25">
      <c r="A20" s="648"/>
      <c r="B20" s="437" t="s">
        <v>319</v>
      </c>
      <c r="C20" s="437" t="s">
        <v>320</v>
      </c>
      <c r="D20" s="437" t="s">
        <v>27</v>
      </c>
      <c r="E20" s="437" t="s">
        <v>27</v>
      </c>
      <c r="F20" s="437" t="s">
        <v>320</v>
      </c>
      <c r="G20" s="433"/>
      <c r="H20" s="436"/>
      <c r="I20" s="436"/>
    </row>
    <row r="21" spans="1:9" ht="37.9" customHeight="1" x14ac:dyDescent="0.25">
      <c r="A21" s="131" t="s">
        <v>387</v>
      </c>
      <c r="B21" s="432">
        <v>25000</v>
      </c>
      <c r="C21" s="432">
        <v>10.5</v>
      </c>
      <c r="D21" s="432">
        <v>120</v>
      </c>
      <c r="E21" s="432">
        <v>19</v>
      </c>
      <c r="F21" s="432">
        <v>0.23</v>
      </c>
      <c r="G21" s="433"/>
      <c r="H21" s="434">
        <f>F21/100*B5</f>
        <v>57.5</v>
      </c>
      <c r="I21" s="434">
        <f>C21/100*B5</f>
        <v>2625</v>
      </c>
    </row>
    <row r="22" spans="1:9" ht="18.75" x14ac:dyDescent="0.25">
      <c r="A22" s="131" t="s">
        <v>388</v>
      </c>
      <c r="B22" s="437">
        <v>40000</v>
      </c>
      <c r="C22" s="437">
        <v>10.5</v>
      </c>
      <c r="D22" s="437">
        <v>170</v>
      </c>
      <c r="E22" s="437">
        <v>22</v>
      </c>
      <c r="F22" s="437">
        <v>0.28000000000000003</v>
      </c>
      <c r="G22" s="433"/>
      <c r="H22" s="434">
        <f>F22/100*B6</f>
        <v>112.00000000000001</v>
      </c>
      <c r="I22" s="434">
        <f>C22/100*B6</f>
        <v>4200</v>
      </c>
    </row>
  </sheetData>
  <mergeCells count="18">
    <mergeCell ref="G14:G15"/>
    <mergeCell ref="H14:I14"/>
    <mergeCell ref="A2:I2"/>
    <mergeCell ref="H3:I3"/>
    <mergeCell ref="D3:D4"/>
    <mergeCell ref="G3:G4"/>
    <mergeCell ref="C3:C4"/>
    <mergeCell ref="B3:B4"/>
    <mergeCell ref="A3:A4"/>
    <mergeCell ref="E3:E4"/>
    <mergeCell ref="A19:A20"/>
    <mergeCell ref="A18:F18"/>
    <mergeCell ref="A17:F17"/>
    <mergeCell ref="A16:F16"/>
    <mergeCell ref="E14:E15"/>
    <mergeCell ref="D14:D15"/>
    <mergeCell ref="B14:B15"/>
    <mergeCell ref="C14:C15"/>
  </mergeCells>
  <pageMargins left="0.70000004768371604" right="0.70000004768371604" top="0.75" bottom="0.75" header="0.30000001192092901" footer="0.3000000119209290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9"/>
  <sheetViews>
    <sheetView workbookViewId="0">
      <selection activeCell="D9" sqref="D9"/>
    </sheetView>
  </sheetViews>
  <sheetFormatPr defaultColWidth="9.140625" defaultRowHeight="15" x14ac:dyDescent="0.25"/>
  <cols>
    <col min="1" max="1" width="22.42578125" customWidth="1"/>
    <col min="2" max="2" width="19" customWidth="1"/>
    <col min="3" max="3" width="12.28515625" customWidth="1"/>
    <col min="4" max="4" width="15.28515625" customWidth="1"/>
    <col min="5" max="5" width="11.7109375" customWidth="1"/>
    <col min="6" max="6" width="13.28515625" customWidth="1"/>
    <col min="7" max="7" width="11" customWidth="1"/>
    <col min="8" max="8" width="16.28515625" customWidth="1"/>
    <col min="9" max="9" width="19.28515625" customWidth="1"/>
  </cols>
  <sheetData>
    <row r="1" spans="1:14" ht="18.75" x14ac:dyDescent="0.3">
      <c r="A1" s="599" t="s">
        <v>450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</row>
    <row r="2" spans="1:14" ht="18.75" x14ac:dyDescent="0.3">
      <c r="A2" s="600" t="s">
        <v>451</v>
      </c>
      <c r="B2" s="601"/>
      <c r="C2" s="601"/>
      <c r="D2" s="601"/>
      <c r="E2" s="601"/>
      <c r="F2" s="601"/>
      <c r="G2" s="601"/>
      <c r="H2" s="601"/>
      <c r="I2" s="601"/>
      <c r="J2" s="601"/>
      <c r="K2" s="602"/>
    </row>
    <row r="3" spans="1:14" ht="54.6" customHeight="1" x14ac:dyDescent="0.25">
      <c r="A3" s="125" t="s">
        <v>452</v>
      </c>
      <c r="B3" s="125" t="s">
        <v>453</v>
      </c>
      <c r="C3" s="125" t="s">
        <v>454</v>
      </c>
      <c r="D3" s="125" t="s">
        <v>455</v>
      </c>
      <c r="E3" s="125" t="s">
        <v>456</v>
      </c>
      <c r="F3" s="125" t="s">
        <v>457</v>
      </c>
      <c r="G3" s="125" t="s">
        <v>458</v>
      </c>
      <c r="H3" s="302" t="s">
        <v>459</v>
      </c>
      <c r="I3" s="125" t="s">
        <v>460</v>
      </c>
      <c r="J3" s="125" t="s">
        <v>461</v>
      </c>
      <c r="K3" s="125" t="s">
        <v>462</v>
      </c>
      <c r="L3" s="125" t="s">
        <v>463</v>
      </c>
      <c r="M3" s="300" t="s">
        <v>464</v>
      </c>
      <c r="N3" s="303"/>
    </row>
    <row r="4" spans="1:14" ht="18.75" x14ac:dyDescent="0.3">
      <c r="A4" s="83" t="s">
        <v>351</v>
      </c>
      <c r="B4" s="296">
        <v>10</v>
      </c>
      <c r="C4" s="141">
        <f>'КЗ 10 по ТП'!L4</f>
        <v>7.8770194822721953</v>
      </c>
      <c r="D4" s="141">
        <f>'Ф-202-90-0,4'!E15/(1.73*10*2)</f>
        <v>64.102597687529382</v>
      </c>
      <c r="E4" s="141">
        <f t="shared" ref="E4:E10" si="0">POWER(C4, 2)*K4</f>
        <v>3.1023717962047863</v>
      </c>
      <c r="F4" s="141">
        <f>D4/(1.4*0.92*1)</f>
        <v>49.769097583485546</v>
      </c>
      <c r="G4" s="141">
        <f>D4/(1.4)</f>
        <v>45.787569776806706</v>
      </c>
      <c r="H4" s="130">
        <f t="shared" ref="H4:H9" si="1">SQRT(E4)*POWER(10, 3)/98</f>
        <v>17.973011247398805</v>
      </c>
      <c r="I4" s="350" t="s">
        <v>683</v>
      </c>
      <c r="J4" s="189">
        <v>180</v>
      </c>
      <c r="K4" s="189">
        <v>0.05</v>
      </c>
      <c r="L4" s="75">
        <f>0.96+0.01+0.008</f>
        <v>0.97799999999999998</v>
      </c>
      <c r="M4">
        <v>98</v>
      </c>
      <c r="N4" s="50" t="s">
        <v>465</v>
      </c>
    </row>
    <row r="5" spans="1:14" ht="18.75" x14ac:dyDescent="0.3">
      <c r="A5" s="77" t="s">
        <v>208</v>
      </c>
      <c r="B5" s="131">
        <v>10</v>
      </c>
      <c r="C5" s="141">
        <f>'КЗ 10 по ТП'!L5</f>
        <v>6.955477619627346</v>
      </c>
      <c r="D5" s="130">
        <f>'Ф-202-90-0,4'!E26/(1.73*10*2)</f>
        <v>64.934548944343092</v>
      </c>
      <c r="E5" s="141">
        <f t="shared" si="0"/>
        <v>2.4189334458568448</v>
      </c>
      <c r="F5" s="141">
        <f>D5/(1.4*0.92*1)</f>
        <v>50.41502247231606</v>
      </c>
      <c r="G5" s="141">
        <f t="shared" ref="G5:G10" si="2">D5/1.4</f>
        <v>46.381820674530786</v>
      </c>
      <c r="H5" s="130">
        <f t="shared" si="1"/>
        <v>15.870327319862419</v>
      </c>
      <c r="I5" s="350" t="s">
        <v>683</v>
      </c>
      <c r="J5" s="189">
        <v>180</v>
      </c>
      <c r="K5" s="189">
        <v>0.05</v>
      </c>
      <c r="L5" s="75"/>
      <c r="N5" s="304" t="s">
        <v>465</v>
      </c>
    </row>
    <row r="6" spans="1:14" ht="18.75" x14ac:dyDescent="0.3">
      <c r="A6" s="83" t="s">
        <v>210</v>
      </c>
      <c r="B6" s="131">
        <v>10</v>
      </c>
      <c r="C6" s="141">
        <f>'КЗ 10 по ТП'!L6</f>
        <v>8.2011396400455023</v>
      </c>
      <c r="D6" s="130">
        <f>'Ф-202-90-0,4'!E35/(1.73*10*1)</f>
        <v>65.151341924887362</v>
      </c>
      <c r="E6" s="141">
        <f t="shared" si="0"/>
        <v>3.362934569776284</v>
      </c>
      <c r="F6" s="141">
        <f>D6/(1.4*0.92*1)</f>
        <v>50.583340003794532</v>
      </c>
      <c r="G6" s="141">
        <f t="shared" si="2"/>
        <v>46.536672803490973</v>
      </c>
      <c r="H6" s="130">
        <f t="shared" si="1"/>
        <v>18.712556865418268</v>
      </c>
      <c r="I6" s="350" t="s">
        <v>683</v>
      </c>
      <c r="J6" s="189">
        <v>180</v>
      </c>
      <c r="K6" s="189">
        <v>0.05</v>
      </c>
      <c r="L6" s="75"/>
      <c r="N6" s="304" t="s">
        <v>465</v>
      </c>
    </row>
    <row r="7" spans="1:14" ht="18.75" x14ac:dyDescent="0.3">
      <c r="A7" s="83" t="s">
        <v>212</v>
      </c>
      <c r="B7" s="131">
        <v>10</v>
      </c>
      <c r="C7" s="141">
        <f>'КЗ 10 по ТП'!L7</f>
        <v>8.4825565251360988</v>
      </c>
      <c r="D7" s="130">
        <f>'Ф-202-90-0,4'!E45/(1.73*10*2)</f>
        <v>66.058423373204505</v>
      </c>
      <c r="E7" s="141">
        <f t="shared" si="0"/>
        <v>3.5976882601064504</v>
      </c>
      <c r="F7" s="141">
        <f>D7/(1.4*0.92*1)</f>
        <v>51.287595786649462</v>
      </c>
      <c r="G7" s="141">
        <f t="shared" si="2"/>
        <v>47.184588123717504</v>
      </c>
      <c r="H7" s="130">
        <f t="shared" si="1"/>
        <v>19.354666339988491</v>
      </c>
      <c r="I7" s="350" t="s">
        <v>683</v>
      </c>
      <c r="J7" s="189">
        <v>180</v>
      </c>
      <c r="K7" s="189">
        <v>0.05</v>
      </c>
      <c r="L7" s="75">
        <v>0.66</v>
      </c>
      <c r="N7" s="304" t="s">
        <v>465</v>
      </c>
    </row>
    <row r="8" spans="1:14" ht="18.75" x14ac:dyDescent="0.3">
      <c r="A8" s="182" t="s">
        <v>466</v>
      </c>
      <c r="B8" s="191">
        <v>10</v>
      </c>
      <c r="C8" s="305">
        <f>'КЗ 10 по ТП'!L8</f>
        <v>9.7815595576088299</v>
      </c>
      <c r="D8" s="305">
        <f>4800/(1.73*10*0.95*0.89)</f>
        <v>328.15688633807684</v>
      </c>
      <c r="E8" s="184">
        <f t="shared" si="0"/>
        <v>4.7839453689524332</v>
      </c>
      <c r="F8" s="184">
        <f>1.1*D8</f>
        <v>360.97257497188457</v>
      </c>
      <c r="G8" s="305">
        <f t="shared" si="2"/>
        <v>234.39777595576919</v>
      </c>
      <c r="H8" s="305">
        <f t="shared" si="1"/>
        <v>22.31860418038379</v>
      </c>
      <c r="I8" s="350" t="s">
        <v>684</v>
      </c>
      <c r="J8" s="189">
        <v>214</v>
      </c>
      <c r="K8" s="189">
        <v>0.05</v>
      </c>
      <c r="L8" s="75"/>
      <c r="N8" s="304" t="s">
        <v>467</v>
      </c>
    </row>
    <row r="9" spans="1:14" ht="18.75" x14ac:dyDescent="0.3">
      <c r="A9" s="129" t="s">
        <v>468</v>
      </c>
      <c r="B9" s="131">
        <v>10</v>
      </c>
      <c r="C9" s="305">
        <f>'КЗ 10 по ТП'!L9</f>
        <v>7.5541314822554044</v>
      </c>
      <c r="D9" s="130">
        <f>500/(1.73*6*0.9*0.8)</f>
        <v>66.902162277884827</v>
      </c>
      <c r="E9" s="141">
        <f t="shared" si="0"/>
        <v>2.8532451225601121</v>
      </c>
      <c r="F9" s="141">
        <f>1.1*D9</f>
        <v>73.59237850567331</v>
      </c>
      <c r="G9" s="130">
        <f t="shared" si="2"/>
        <v>47.787258769917734</v>
      </c>
      <c r="H9" s="130">
        <f t="shared" si="1"/>
        <v>17.236277046218703</v>
      </c>
      <c r="I9" s="350" t="s">
        <v>683</v>
      </c>
      <c r="J9" s="189">
        <v>180</v>
      </c>
      <c r="K9" s="189">
        <v>0.05</v>
      </c>
      <c r="L9" s="75"/>
      <c r="N9" s="50" t="s">
        <v>465</v>
      </c>
    </row>
    <row r="10" spans="1:14" ht="18.75" x14ac:dyDescent="0.3">
      <c r="A10" s="129" t="s">
        <v>469</v>
      </c>
      <c r="B10" s="131">
        <v>10</v>
      </c>
      <c r="C10" s="305">
        <f>'КЗ 10 по ТП'!L10</f>
        <v>8.1566681739944258</v>
      </c>
      <c r="D10" s="130">
        <f>500/(1.73*6*0.9*0.8)</f>
        <v>66.902162277884827</v>
      </c>
      <c r="E10" s="141">
        <f t="shared" si="0"/>
        <v>3.3265617850326779</v>
      </c>
      <c r="F10" s="141">
        <f>1.1*D10</f>
        <v>73.59237850567331</v>
      </c>
      <c r="G10" s="130">
        <f t="shared" si="2"/>
        <v>47.787258769917734</v>
      </c>
      <c r="H10" s="130">
        <f>SQRT(E10)*POWER(10,3)/98</f>
        <v>18.611086231592466</v>
      </c>
      <c r="I10" s="350" t="s">
        <v>683</v>
      </c>
      <c r="J10" s="189">
        <v>180</v>
      </c>
      <c r="K10" s="189">
        <v>0.05</v>
      </c>
      <c r="L10" s="75"/>
      <c r="N10" s="50" t="s">
        <v>465</v>
      </c>
    </row>
    <row r="11" spans="1:14" ht="18.75" x14ac:dyDescent="0.3">
      <c r="A11" s="311" t="s">
        <v>664</v>
      </c>
      <c r="B11" s="200">
        <v>10</v>
      </c>
      <c r="I11" s="333" t="s">
        <v>412</v>
      </c>
      <c r="J11" s="367">
        <v>424</v>
      </c>
    </row>
    <row r="29" spans="3:12" ht="18.75" x14ac:dyDescent="0.3">
      <c r="C29">
        <v>7.03</v>
      </c>
      <c r="D29" s="130" t="e">
        <f>('[1]Ф202-90-0,4'!E15+'[1]Ф202-90-10кВ'!E15)/(1.73*6*2)</f>
        <v>#REF!</v>
      </c>
      <c r="E29" s="141"/>
      <c r="F29" s="141"/>
      <c r="G29" s="141" t="e">
        <f>D29/(2*1.2)</f>
        <v>#REF!</v>
      </c>
      <c r="H29" s="141" t="e">
        <f>SQRT(E29*1000000)/M14</f>
        <v>#DIV/0!</v>
      </c>
      <c r="I29" s="131" t="s">
        <v>470</v>
      </c>
      <c r="J29" s="296">
        <v>389</v>
      </c>
      <c r="K29" s="296">
        <v>0.97799999999999998</v>
      </c>
      <c r="L29" s="75">
        <f>0.96+0.01+0.008</f>
        <v>0.97799999999999998</v>
      </c>
    </row>
    <row r="31" spans="3:12" ht="18.75" x14ac:dyDescent="0.25">
      <c r="C31" s="301" t="s">
        <v>471</v>
      </c>
      <c r="D31" s="298">
        <f>D4/2</f>
        <v>32.051298843764691</v>
      </c>
    </row>
    <row r="32" spans="3:12" ht="18.75" x14ac:dyDescent="0.3">
      <c r="C32" s="301" t="s">
        <v>351</v>
      </c>
      <c r="D32" s="298">
        <f>D5/2</f>
        <v>32.467274472171546</v>
      </c>
      <c r="F32" s="298"/>
      <c r="G32" s="298"/>
      <c r="H32" s="298">
        <f>7.03*1.41</f>
        <v>9.9123000000000001</v>
      </c>
      <c r="I32" s="301"/>
      <c r="J32" s="299"/>
    </row>
    <row r="33" spans="3:12" ht="18.75" x14ac:dyDescent="0.25">
      <c r="D33" s="298" t="e">
        <f>#REF!/2</f>
        <v>#REF!</v>
      </c>
      <c r="I33">
        <f>4.08*4.08</f>
        <v>16.6464</v>
      </c>
      <c r="J33">
        <f>I33*1.2</f>
        <v>19.975680000000001</v>
      </c>
      <c r="K33">
        <f>SQRT(J33)</f>
        <v>4.4694160692421558</v>
      </c>
      <c r="L33">
        <f>K33/90</f>
        <v>4.9660178547135066E-2</v>
      </c>
    </row>
    <row r="34" spans="3:12" ht="18.75" x14ac:dyDescent="0.25">
      <c r="D34" s="298">
        <f>D6/2</f>
        <v>32.575670962443681</v>
      </c>
      <c r="I34">
        <f>5.5/0.821</f>
        <v>6.6991473812423878</v>
      </c>
    </row>
    <row r="35" spans="3:12" ht="18.75" x14ac:dyDescent="0.25">
      <c r="D35" s="298">
        <f>D7/2</f>
        <v>33.029211686602252</v>
      </c>
      <c r="I35">
        <f>1.41*I34</f>
        <v>9.4457978075517666</v>
      </c>
    </row>
    <row r="36" spans="3:12" ht="18.75" x14ac:dyDescent="0.25">
      <c r="C36" t="s">
        <v>472</v>
      </c>
      <c r="D36" s="298" t="e">
        <f>#REF!/2</f>
        <v>#REF!</v>
      </c>
      <c r="G36">
        <f>3*0.925</f>
        <v>2.7750000000000004</v>
      </c>
      <c r="H36">
        <f>G36*5</f>
        <v>13.875000000000002</v>
      </c>
      <c r="I36">
        <f>1.453*I35</f>
        <v>13.724744214372718</v>
      </c>
      <c r="J36">
        <v>0.78300000000000003</v>
      </c>
    </row>
    <row r="37" spans="3:12" ht="18.75" x14ac:dyDescent="0.25">
      <c r="D37" s="298">
        <f>D8/2</f>
        <v>164.07844316903842</v>
      </c>
      <c r="G37">
        <f>3/0.925</f>
        <v>3.243243243243243</v>
      </c>
      <c r="H37">
        <f>G37*5</f>
        <v>16.216216216216214</v>
      </c>
      <c r="J37">
        <v>3.7999999999999999E-2</v>
      </c>
    </row>
    <row r="38" spans="3:12" x14ac:dyDescent="0.25">
      <c r="G38">
        <v>32.44</v>
      </c>
      <c r="H38">
        <v>35</v>
      </c>
      <c r="I38">
        <f>SQRT(POWER(G38, 2)+POWER(H38, 2))</f>
        <v>47.721626124850353</v>
      </c>
      <c r="J38">
        <f>SUM(J36:J37)</f>
        <v>0.82100000000000006</v>
      </c>
    </row>
    <row r="39" spans="3:12" x14ac:dyDescent="0.25">
      <c r="I39">
        <f>100/J38</f>
        <v>121.80267965895248</v>
      </c>
    </row>
  </sheetData>
  <mergeCells count="2">
    <mergeCell ref="A1:K1"/>
    <mergeCell ref="A2:K2"/>
  </mergeCells>
  <hyperlinks>
    <hyperlink ref="N5" r:id="rId1" xr:uid="{00000000-0004-0000-0B00-000000000000}"/>
    <hyperlink ref="N6" r:id="rId2" xr:uid="{00000000-0004-0000-0B00-000001000000}"/>
    <hyperlink ref="N7" r:id="rId3" xr:uid="{00000000-0004-0000-0B00-000002000000}"/>
    <hyperlink ref="N8" r:id="rId4" xr:uid="{00000000-0004-0000-0B00-000003000000}"/>
  </hyperlinks>
  <pageMargins left="0.70000004768371604" right="0.70000004768371604" top="0.75" bottom="0.75" header="0.30000001192092901" footer="0.3000000119209290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7"/>
  <sheetViews>
    <sheetView topLeftCell="A26" workbookViewId="0">
      <selection activeCell="B48" sqref="B48"/>
    </sheetView>
  </sheetViews>
  <sheetFormatPr defaultColWidth="9.140625" defaultRowHeight="15" x14ac:dyDescent="0.25"/>
  <cols>
    <col min="1" max="1" width="15" customWidth="1"/>
    <col min="2" max="2" width="16.85546875" customWidth="1"/>
    <col min="4" max="4" width="15.28515625" customWidth="1"/>
    <col min="5" max="5" width="8.85546875" customWidth="1"/>
    <col min="6" max="6" width="15" bestFit="1" customWidth="1"/>
    <col min="8" max="8" width="15" customWidth="1"/>
    <col min="9" max="9" width="13" customWidth="1"/>
    <col min="10" max="10" width="16.7109375" customWidth="1"/>
    <col min="11" max="11" width="20.7109375" customWidth="1"/>
    <col min="12" max="12" width="22" customWidth="1"/>
    <col min="14" max="14" width="18.28515625" customWidth="1"/>
    <col min="16" max="16" width="27.140625" customWidth="1"/>
    <col min="17" max="17" width="15.42578125" customWidth="1"/>
    <col min="18" max="18" width="15.85546875" customWidth="1"/>
    <col min="19" max="19" width="13.7109375" customWidth="1"/>
    <col min="20" max="20" width="12.7109375" customWidth="1"/>
  </cols>
  <sheetData>
    <row r="1" spans="1:22" ht="18.75" x14ac:dyDescent="0.3">
      <c r="A1" s="190" t="s">
        <v>473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22" ht="18.75" x14ac:dyDescent="0.3">
      <c r="A2" s="600" t="s">
        <v>474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2"/>
    </row>
    <row r="3" spans="1:22" ht="112.5" x14ac:dyDescent="0.25">
      <c r="A3" s="429" t="s">
        <v>475</v>
      </c>
      <c r="B3" s="430" t="s">
        <v>476</v>
      </c>
      <c r="C3" s="430" t="s">
        <v>477</v>
      </c>
      <c r="D3" s="430" t="s">
        <v>478</v>
      </c>
      <c r="E3" s="430" t="s">
        <v>479</v>
      </c>
      <c r="F3" s="430" t="s">
        <v>480</v>
      </c>
      <c r="G3" s="431" t="s">
        <v>481</v>
      </c>
      <c r="H3" s="431" t="s">
        <v>482</v>
      </c>
      <c r="I3" s="431" t="s">
        <v>483</v>
      </c>
      <c r="J3" s="431" t="s">
        <v>484</v>
      </c>
      <c r="K3" s="431" t="s">
        <v>485</v>
      </c>
      <c r="L3" s="431" t="s">
        <v>486</v>
      </c>
      <c r="M3" s="431" t="s">
        <v>487</v>
      </c>
      <c r="N3" s="431" t="s">
        <v>488</v>
      </c>
      <c r="O3" s="431" t="s">
        <v>489</v>
      </c>
      <c r="P3" t="s">
        <v>490</v>
      </c>
      <c r="Q3" t="s">
        <v>491</v>
      </c>
      <c r="R3" s="125" t="s">
        <v>492</v>
      </c>
      <c r="S3" s="125" t="s">
        <v>493</v>
      </c>
    </row>
    <row r="4" spans="1:22" ht="18.75" x14ac:dyDescent="0.3">
      <c r="A4" s="423" t="s">
        <v>494</v>
      </c>
      <c r="B4" s="423">
        <f>B40</f>
        <v>6.364836606882383</v>
      </c>
      <c r="C4" s="423">
        <v>2.64</v>
      </c>
      <c r="D4" s="424">
        <v>0.14599999999999999</v>
      </c>
      <c r="E4" s="425">
        <v>0.08</v>
      </c>
      <c r="F4" s="425">
        <v>0.62</v>
      </c>
      <c r="G4" s="426">
        <f t="shared" ref="G4:G10" si="0">E4*D4*(1000/POWER(10.5, 2))</f>
        <v>0.10594104308390022</v>
      </c>
      <c r="H4" s="426">
        <f t="shared" ref="H4:H10" si="1">F4*D4*1000/POWER(10.5, 2)</f>
        <v>0.82104308390022673</v>
      </c>
      <c r="I4" s="426">
        <f t="shared" ref="I4:J10" si="2">B4+G4</f>
        <v>6.4707776499662835</v>
      </c>
      <c r="J4" s="426">
        <f t="shared" si="2"/>
        <v>3.4610430839002269</v>
      </c>
      <c r="K4" s="426">
        <f t="shared" ref="K4:K10" si="3">SQRT(POWER(I4, 2)+POWER(J4, 2))</f>
        <v>7.3382411124135718</v>
      </c>
      <c r="L4" s="427">
        <f>G$12/K4</f>
        <v>7.8770194822721953</v>
      </c>
      <c r="M4" s="427">
        <f>1.41*L4*U4</f>
        <v>13.513922534349136</v>
      </c>
      <c r="N4" s="427">
        <f t="shared" ref="N4:N10" si="4">1.02+0.98*POWER(2.72, -3/(I4/J4))</f>
        <v>1.2167473045500152</v>
      </c>
      <c r="O4" s="427">
        <f t="shared" ref="O4:O10" si="5">L4*SQRT(1+2*POWER(N4-1, 2))</f>
        <v>8.2387704061781371</v>
      </c>
      <c r="P4">
        <f>I4/3</f>
        <v>2.1569258833220943</v>
      </c>
      <c r="Q4">
        <f>L4*1.41</f>
        <v>11.106597470003795</v>
      </c>
      <c r="R4">
        <f>1.41*L4</f>
        <v>11.106597470003795</v>
      </c>
      <c r="S4">
        <f>I4/J4</f>
        <v>1.8696033227862643</v>
      </c>
      <c r="T4">
        <f t="shared" ref="T4:T10" si="6">-3/S4</f>
        <v>-1.6046184575287923</v>
      </c>
      <c r="U4" s="365">
        <f>1.02+0.98*POWER(2.72,T4)</f>
        <v>1.2167473045500152</v>
      </c>
      <c r="V4" s="366">
        <f>I4/(2*3.14*50*J4)</f>
        <v>5.9541507095103958E-3</v>
      </c>
    </row>
    <row r="5" spans="1:22" ht="18.75" x14ac:dyDescent="0.3">
      <c r="A5" s="423" t="s">
        <v>495</v>
      </c>
      <c r="B5" s="423">
        <f>B41</f>
        <v>6.9834307111907732</v>
      </c>
      <c r="C5" s="423">
        <v>2.64</v>
      </c>
      <c r="D5" s="424">
        <v>0.27400000000000002</v>
      </c>
      <c r="E5" s="425">
        <v>0.08</v>
      </c>
      <c r="F5" s="425">
        <v>0.62</v>
      </c>
      <c r="G5" s="426">
        <f t="shared" si="0"/>
        <v>0.19882086167800456</v>
      </c>
      <c r="H5" s="426">
        <f t="shared" si="1"/>
        <v>1.540861678004535</v>
      </c>
      <c r="I5" s="426">
        <f t="shared" si="2"/>
        <v>7.1822515728687781</v>
      </c>
      <c r="J5" s="426">
        <f t="shared" si="2"/>
        <v>4.1808616780045353</v>
      </c>
      <c r="K5" s="426">
        <f t="shared" si="3"/>
        <v>8.3104958953472163</v>
      </c>
      <c r="L5" s="427">
        <f>G$12/K5</f>
        <v>6.955477619627346</v>
      </c>
      <c r="M5" s="427">
        <f>1.41*L5*U6</f>
        <v>11.677814162554219</v>
      </c>
      <c r="N5" s="427">
        <f t="shared" si="4"/>
        <v>1.1907360151038622</v>
      </c>
      <c r="O5" s="427">
        <f t="shared" si="5"/>
        <v>7.2040768232820342</v>
      </c>
      <c r="P5">
        <f>I5/3</f>
        <v>2.3940838576229262</v>
      </c>
      <c r="Q5">
        <f>L5*1.41</f>
        <v>9.8072234436745571</v>
      </c>
      <c r="R5">
        <f>1.41*L5</f>
        <v>9.8072234436745571</v>
      </c>
      <c r="S5">
        <f>I5/J5</f>
        <v>1.7178878724102546</v>
      </c>
      <c r="T5">
        <f t="shared" si="6"/>
        <v>-1.7463305074683941</v>
      </c>
      <c r="U5" s="365">
        <f t="shared" ref="U5:U10" si="7">1.02+0.98*POWER(2.72,T5)</f>
        <v>1.1907360151038622</v>
      </c>
      <c r="V5" s="366">
        <f t="shared" ref="V5:V7" si="8">I5/(2*3.14*50*J5)</f>
        <v>5.4709804853829763E-3</v>
      </c>
    </row>
    <row r="6" spans="1:22" ht="18.75" x14ac:dyDescent="0.3">
      <c r="A6" s="423" t="s">
        <v>496</v>
      </c>
      <c r="B6" s="426">
        <f>B42</f>
        <v>6.0836574685603875</v>
      </c>
      <c r="C6" s="423">
        <v>2.64</v>
      </c>
      <c r="D6" s="424">
        <v>0.13</v>
      </c>
      <c r="E6" s="425">
        <v>0.09</v>
      </c>
      <c r="F6" s="425">
        <v>0.62</v>
      </c>
      <c r="G6" s="426">
        <f t="shared" si="0"/>
        <v>0.10612244897959185</v>
      </c>
      <c r="H6" s="426">
        <f t="shared" si="1"/>
        <v>0.73106575963718834</v>
      </c>
      <c r="I6" s="426">
        <f t="shared" si="2"/>
        <v>6.1897799175399797</v>
      </c>
      <c r="J6" s="426">
        <f t="shared" si="2"/>
        <v>3.3710657596371885</v>
      </c>
      <c r="K6" s="426">
        <f t="shared" si="3"/>
        <v>7.0482238743799481</v>
      </c>
      <c r="L6" s="427">
        <f>G$12/K6</f>
        <v>8.2011396400455023</v>
      </c>
      <c r="M6" s="427">
        <f>1.41*L6*U6</f>
        <v>13.769203191360326</v>
      </c>
      <c r="N6" s="427">
        <f t="shared" si="4"/>
        <v>1.2110750101510994</v>
      </c>
      <c r="O6" s="427">
        <f t="shared" si="5"/>
        <v>8.5587264591782137</v>
      </c>
      <c r="P6">
        <f>I5/3</f>
        <v>2.3940838576229262</v>
      </c>
      <c r="Q6">
        <f>L5*1.41</f>
        <v>9.8072234436745571</v>
      </c>
      <c r="R6">
        <f>1.41*L5</f>
        <v>9.8072234436745571</v>
      </c>
      <c r="S6">
        <f>I5/J5</f>
        <v>1.7178878724102546</v>
      </c>
      <c r="T6">
        <f t="shared" si="6"/>
        <v>-1.7463305074683941</v>
      </c>
      <c r="U6" s="365">
        <f t="shared" si="7"/>
        <v>1.1907360151038622</v>
      </c>
      <c r="V6" s="366">
        <f t="shared" si="8"/>
        <v>5.8476091248797586E-3</v>
      </c>
    </row>
    <row r="7" spans="1:22" ht="18.75" x14ac:dyDescent="0.3">
      <c r="A7" s="423" t="s">
        <v>497</v>
      </c>
      <c r="B7" s="423">
        <f>B43</f>
        <v>5.9711858132315889</v>
      </c>
      <c r="C7" s="423">
        <v>2.64</v>
      </c>
      <c r="D7" s="424">
        <v>0.09</v>
      </c>
      <c r="E7" s="425">
        <v>0.09</v>
      </c>
      <c r="F7" s="425">
        <v>0.62</v>
      </c>
      <c r="G7" s="426">
        <f t="shared" si="0"/>
        <v>7.3469387755102034E-2</v>
      </c>
      <c r="H7" s="426">
        <f t="shared" si="1"/>
        <v>0.5061224489795918</v>
      </c>
      <c r="I7" s="426">
        <f t="shared" si="2"/>
        <v>6.044655200986691</v>
      </c>
      <c r="J7" s="426">
        <f t="shared" si="2"/>
        <v>3.1461224489795918</v>
      </c>
      <c r="K7" s="426">
        <f t="shared" si="3"/>
        <v>6.8143923399514348</v>
      </c>
      <c r="L7" s="427">
        <f>G$12/K7+J29</f>
        <v>8.4825565251360988</v>
      </c>
      <c r="M7" s="427">
        <f>1.41*L7*U7</f>
        <v>14.48494724399893</v>
      </c>
      <c r="N7" s="427">
        <f t="shared" si="4"/>
        <v>1.2254341972314735</v>
      </c>
      <c r="O7" s="427">
        <f t="shared" si="5"/>
        <v>8.9032145302926331</v>
      </c>
      <c r="P7">
        <f>I6/3</f>
        <v>2.0632599725133267</v>
      </c>
      <c r="Q7">
        <f>L6*1.41</f>
        <v>11.563606892464158</v>
      </c>
      <c r="R7">
        <f>1.41*L6</f>
        <v>11.563606892464158</v>
      </c>
      <c r="S7">
        <f>I6/J6</f>
        <v>1.8361492652122442</v>
      </c>
      <c r="T7">
        <f t="shared" si="6"/>
        <v>-1.6338540971794164</v>
      </c>
      <c r="U7" s="365">
        <f t="shared" si="7"/>
        <v>1.2110750101510994</v>
      </c>
      <c r="V7" s="366">
        <f t="shared" si="8"/>
        <v>6.1188000730556195E-3</v>
      </c>
    </row>
    <row r="8" spans="1:22" ht="18.75" x14ac:dyDescent="0.3">
      <c r="A8" s="423" t="s">
        <v>498</v>
      </c>
      <c r="B8" s="423">
        <f>B44</f>
        <v>5.2466375564288672</v>
      </c>
      <c r="C8" s="423">
        <f>H35+D42</f>
        <v>4.1583673469387756</v>
      </c>
      <c r="D8" s="424">
        <v>0.09</v>
      </c>
      <c r="E8" s="425">
        <v>7.4999999999999997E-2</v>
      </c>
      <c r="F8" s="425">
        <v>0.129</v>
      </c>
      <c r="G8" s="426">
        <f t="shared" si="0"/>
        <v>6.1224489795918366E-2</v>
      </c>
      <c r="H8" s="426">
        <f t="shared" si="1"/>
        <v>0.10530612244897961</v>
      </c>
      <c r="I8" s="426">
        <f t="shared" si="2"/>
        <v>5.3078620462247859</v>
      </c>
      <c r="J8" s="426">
        <f t="shared" si="2"/>
        <v>4.2636734693877552</v>
      </c>
      <c r="K8" s="426">
        <f t="shared" si="3"/>
        <v>6.8082531500609313</v>
      </c>
      <c r="L8" s="427">
        <f>G$12/K8+N17</f>
        <v>9.7815595576088299</v>
      </c>
      <c r="M8" s="427">
        <f>1.41*L8*U9</f>
        <v>15.280161382588211</v>
      </c>
      <c r="N8" s="427">
        <f t="shared" si="4"/>
        <v>1.1079004145029827</v>
      </c>
      <c r="O8" s="427">
        <f t="shared" si="5"/>
        <v>9.8947860326591606</v>
      </c>
      <c r="P8" s="306">
        <f>I7/3</f>
        <v>2.0148850669955638</v>
      </c>
      <c r="Q8">
        <f>L7*1.41</f>
        <v>11.960404700441899</v>
      </c>
      <c r="R8">
        <f>1.41*L7</f>
        <v>11.960404700441899</v>
      </c>
      <c r="S8">
        <f>I7/J7</f>
        <v>1.9213032229394646</v>
      </c>
      <c r="T8">
        <f t="shared" si="6"/>
        <v>-1.5614401538400595</v>
      </c>
      <c r="U8" s="365">
        <f t="shared" si="7"/>
        <v>1.2254341972314735</v>
      </c>
    </row>
    <row r="9" spans="1:22" ht="18.75" x14ac:dyDescent="0.3">
      <c r="A9" s="423" t="s">
        <v>499</v>
      </c>
      <c r="B9" s="423">
        <f>B46</f>
        <v>7.8908031119469166</v>
      </c>
      <c r="C9" s="423">
        <f>H35+D42</f>
        <v>4.1583673469387756</v>
      </c>
      <c r="D9" s="424">
        <v>0.09</v>
      </c>
      <c r="E9" s="425">
        <v>0.09</v>
      </c>
      <c r="F9" s="425">
        <v>0.62</v>
      </c>
      <c r="G9" s="426">
        <f t="shared" si="0"/>
        <v>7.3469387755102034E-2</v>
      </c>
      <c r="H9" s="426">
        <f t="shared" si="1"/>
        <v>0.5061224489795918</v>
      </c>
      <c r="I9" s="426">
        <f t="shared" si="2"/>
        <v>7.9642724997020187</v>
      </c>
      <c r="J9" s="426">
        <f t="shared" si="2"/>
        <v>4.6644897959183673</v>
      </c>
      <c r="K9" s="426">
        <f t="shared" si="3"/>
        <v>9.2296858833730866</v>
      </c>
      <c r="L9" s="427">
        <f>G$12/K9+N17</f>
        <v>7.5541314822554044</v>
      </c>
      <c r="M9" s="427">
        <f>1.41*L9*U10</f>
        <v>12.663549757602491</v>
      </c>
      <c r="N9" s="427">
        <f t="shared" si="4"/>
        <v>1.1889177444072176</v>
      </c>
      <c r="O9" s="427">
        <f t="shared" si="5"/>
        <v>7.8190910846685604</v>
      </c>
      <c r="P9">
        <f>I8/3</f>
        <v>1.7692873487415952</v>
      </c>
      <c r="Q9">
        <f>L8*1.41</f>
        <v>13.791998976228449</v>
      </c>
      <c r="R9">
        <f>1.41*L8</f>
        <v>13.791998976228449</v>
      </c>
      <c r="S9">
        <f>I8/J8</f>
        <v>1.2449035050019841</v>
      </c>
      <c r="T9">
        <f t="shared" si="6"/>
        <v>-2.4098253301931369</v>
      </c>
      <c r="U9" s="365">
        <f t="shared" si="7"/>
        <v>1.1079004145029827</v>
      </c>
    </row>
    <row r="10" spans="1:22" ht="18.75" x14ac:dyDescent="0.3">
      <c r="A10" s="428" t="s">
        <v>500</v>
      </c>
      <c r="B10" s="426">
        <f>B45</f>
        <v>5.5142112525739924</v>
      </c>
      <c r="C10" s="423">
        <f>H35+D42</f>
        <v>4.1583673469387756</v>
      </c>
      <c r="D10" s="424">
        <v>0.09</v>
      </c>
      <c r="E10" s="425">
        <v>0.09</v>
      </c>
      <c r="F10" s="425">
        <v>0.62</v>
      </c>
      <c r="G10" s="426">
        <f t="shared" si="0"/>
        <v>7.3469387755102034E-2</v>
      </c>
      <c r="H10" s="426">
        <f t="shared" si="1"/>
        <v>0.5061224489795918</v>
      </c>
      <c r="I10" s="426">
        <f t="shared" si="2"/>
        <v>5.5876806403290944</v>
      </c>
      <c r="J10" s="426">
        <f t="shared" si="2"/>
        <v>4.6644897959183673</v>
      </c>
      <c r="K10" s="426">
        <f t="shared" si="3"/>
        <v>7.2787114240458202</v>
      </c>
      <c r="L10" s="427">
        <f>G$12/K10+N18</f>
        <v>8.1566681739944258</v>
      </c>
      <c r="M10" s="427">
        <f>1.41*L10*U10</f>
        <v>13.673626613498062</v>
      </c>
      <c r="N10" s="427">
        <f t="shared" si="4"/>
        <v>1.099968038724807</v>
      </c>
      <c r="O10" s="427">
        <f t="shared" si="5"/>
        <v>8.2377794326711467</v>
      </c>
      <c r="P10">
        <f>I9/3</f>
        <v>2.6547574999006729</v>
      </c>
      <c r="Q10">
        <f>L9*1.41</f>
        <v>10.651325389980119</v>
      </c>
      <c r="R10">
        <f>1.41*L9</f>
        <v>10.651325389980119</v>
      </c>
      <c r="S10">
        <f>I9/J9</f>
        <v>1.7074262884380422</v>
      </c>
      <c r="T10">
        <f t="shared" si="6"/>
        <v>-1.7570304617626611</v>
      </c>
      <c r="U10" s="365">
        <f t="shared" si="7"/>
        <v>1.1889177444072176</v>
      </c>
    </row>
    <row r="11" spans="1:22" ht="18.75" x14ac:dyDescent="0.3">
      <c r="A11">
        <v>115</v>
      </c>
      <c r="D11" s="354"/>
      <c r="E11" s="354"/>
      <c r="F11" s="354" t="s">
        <v>501</v>
      </c>
      <c r="G11" s="355">
        <f>A13/1.73/A11</f>
        <v>5.0263885398341293</v>
      </c>
      <c r="H11" s="354"/>
      <c r="I11" s="354" t="s">
        <v>502</v>
      </c>
      <c r="J11" s="355">
        <f>G11/(E14+E16)</f>
        <v>6.5748874691447661</v>
      </c>
      <c r="K11" s="354" t="s">
        <v>502</v>
      </c>
      <c r="L11" s="355">
        <f>L16+L17</f>
        <v>9.6558277230863041</v>
      </c>
      <c r="M11" s="354" t="s">
        <v>502</v>
      </c>
      <c r="N11" s="355">
        <f>N16+N17</f>
        <v>8.8887935446472497</v>
      </c>
      <c r="O11" s="356"/>
      <c r="P11" s="356"/>
      <c r="Q11" s="356"/>
      <c r="R11" s="356"/>
      <c r="S11" s="356"/>
      <c r="T11" s="356"/>
      <c r="U11" s="356"/>
    </row>
    <row r="12" spans="1:22" ht="18.75" x14ac:dyDescent="0.3">
      <c r="A12">
        <v>10</v>
      </c>
      <c r="C12" s="190"/>
      <c r="D12" s="356"/>
      <c r="E12" s="354"/>
      <c r="F12" s="354" t="s">
        <v>503</v>
      </c>
      <c r="G12" s="357">
        <f>A13/1.73/A12</f>
        <v>57.80346820809249</v>
      </c>
      <c r="H12" s="356"/>
      <c r="I12" s="354" t="s">
        <v>504</v>
      </c>
      <c r="J12" s="358">
        <f>1.414*1.608*J11</f>
        <v>14.949400537244086</v>
      </c>
      <c r="K12" s="354" t="s">
        <v>504</v>
      </c>
      <c r="L12" s="354">
        <f>1.414*(1.7*L16+6*L18)</f>
        <v>21.011148068329955</v>
      </c>
      <c r="M12" s="354" t="s">
        <v>504</v>
      </c>
      <c r="N12" s="359">
        <f>1.414*(1.7*N16+6*N18)</f>
        <v>20.088699657219049</v>
      </c>
      <c r="O12" s="356"/>
      <c r="P12" s="356"/>
      <c r="Q12" s="356"/>
      <c r="R12" s="356"/>
      <c r="S12" s="356"/>
      <c r="T12" s="356"/>
      <c r="U12" s="356"/>
    </row>
    <row r="13" spans="1:22" ht="18.75" x14ac:dyDescent="0.3">
      <c r="A13">
        <v>1000</v>
      </c>
      <c r="D13" s="354" t="s">
        <v>505</v>
      </c>
      <c r="E13" s="354">
        <f>6.56</f>
        <v>6.56</v>
      </c>
      <c r="F13" s="354" t="s">
        <v>506</v>
      </c>
      <c r="G13" s="354">
        <v>10</v>
      </c>
      <c r="H13" s="354"/>
      <c r="I13" s="354" t="s">
        <v>507</v>
      </c>
      <c r="J13" s="358">
        <f>J11*SQRT(1+2*POWER(0.608, 2))</f>
        <v>8.6711973059053111</v>
      </c>
      <c r="K13" s="354" t="s">
        <v>508</v>
      </c>
      <c r="L13" s="354">
        <f>L11*SQRT(1+2*POWER(0.7, 2))</f>
        <v>13.586953957951195</v>
      </c>
      <c r="M13" s="354" t="s">
        <v>508</v>
      </c>
      <c r="N13" s="359">
        <f>N11*SQRT(1+2*POWER(0.7, 2))</f>
        <v>12.507641198289068</v>
      </c>
      <c r="O13" s="356"/>
      <c r="P13" s="356"/>
      <c r="Q13" s="356"/>
      <c r="R13" s="356"/>
      <c r="S13" s="356"/>
      <c r="T13" s="356"/>
      <c r="U13" s="356"/>
    </row>
    <row r="14" spans="1:22" ht="18.75" x14ac:dyDescent="0.3">
      <c r="D14" s="354" t="s">
        <v>509</v>
      </c>
      <c r="E14" s="354">
        <f>G11/31.5</f>
        <v>0.15956789015346443</v>
      </c>
      <c r="F14" s="354"/>
      <c r="G14" s="354"/>
      <c r="H14" s="354"/>
      <c r="I14" s="354" t="s">
        <v>510</v>
      </c>
      <c r="J14" s="358">
        <f>J11*1.414*0.846</f>
        <v>7.8651696856396107</v>
      </c>
      <c r="K14" s="354" t="s">
        <v>511</v>
      </c>
      <c r="L14" s="354">
        <f>1.414*L11*0.846</f>
        <v>11.550725978775652</v>
      </c>
      <c r="M14" s="354" t="s">
        <v>511</v>
      </c>
      <c r="N14" s="354">
        <f>1.414*N11*0.846</f>
        <v>10.633165945023004</v>
      </c>
      <c r="O14" s="356"/>
      <c r="P14" s="356"/>
      <c r="Q14" s="356"/>
      <c r="R14" s="356" t="s">
        <v>512</v>
      </c>
      <c r="S14" s="356"/>
      <c r="T14" s="356"/>
      <c r="U14" s="356"/>
    </row>
    <row r="15" spans="1:22" ht="18.75" x14ac:dyDescent="0.3">
      <c r="D15" s="354" t="s">
        <v>513</v>
      </c>
      <c r="E15" s="354">
        <f>R30/100*(A13/1000)</f>
        <v>0.06</v>
      </c>
      <c r="F15" s="354" t="s">
        <v>514</v>
      </c>
      <c r="G15" s="354">
        <f>S30*36/Q30/Q30*1000</f>
        <v>0.23203124999999999</v>
      </c>
      <c r="H15" s="354"/>
      <c r="I15" s="360" t="s">
        <v>515</v>
      </c>
      <c r="J15" s="361">
        <f>A13/(E14+E16)</f>
        <v>1308.0738619863512</v>
      </c>
      <c r="K15" s="360" t="s">
        <v>516</v>
      </c>
      <c r="L15" s="360">
        <f>1000/(E13+E14+E16)</f>
        <v>136.52841081483072</v>
      </c>
      <c r="M15" s="360" t="s">
        <v>517</v>
      </c>
      <c r="N15" s="360">
        <f>1000/(E13+E14+E16+E17)</f>
        <v>131.43570279048251</v>
      </c>
      <c r="O15" s="356"/>
      <c r="P15" s="356"/>
      <c r="Q15" s="356"/>
      <c r="R15" s="356">
        <v>0.50260000000000005</v>
      </c>
      <c r="S15" s="356">
        <v>4.4999999999999998E-2</v>
      </c>
      <c r="T15" s="356">
        <f>R15/S15</f>
        <v>11.16888888888889</v>
      </c>
      <c r="U15" s="356">
        <f>1.41*T15</f>
        <v>15.748133333333335</v>
      </c>
    </row>
    <row r="16" spans="1:22" ht="18.75" x14ac:dyDescent="0.3">
      <c r="D16" s="354" t="s">
        <v>518</v>
      </c>
      <c r="E16" s="354">
        <f>20*0.4*A13/A11/A11</f>
        <v>0.60491493383742911</v>
      </c>
      <c r="F16" s="354"/>
      <c r="G16" s="354"/>
      <c r="H16" s="354"/>
      <c r="I16" s="354"/>
      <c r="J16" s="354"/>
      <c r="K16" s="354" t="s">
        <v>519</v>
      </c>
      <c r="L16" s="362">
        <f>G12/(E14+E16+E13)</f>
        <v>7.8918156540364572</v>
      </c>
      <c r="M16" s="354" t="s">
        <v>519</v>
      </c>
      <c r="N16" s="354">
        <f>G12/(E14+E16+E13+E17)</f>
        <v>7.5974394676579493</v>
      </c>
      <c r="O16" s="356"/>
      <c r="P16" s="356"/>
      <c r="Q16" s="356"/>
      <c r="R16" s="356">
        <v>7.03</v>
      </c>
      <c r="S16" s="356">
        <v>0.97799999999999998</v>
      </c>
      <c r="T16" s="356">
        <f>S16*POWER(R16, 2)</f>
        <v>48.333640200000005</v>
      </c>
      <c r="U16" s="356"/>
    </row>
    <row r="17" spans="1:23" ht="18.75" x14ac:dyDescent="0.3">
      <c r="D17" s="354" t="s">
        <v>520</v>
      </c>
      <c r="E17" s="354">
        <f>0.22*0.129*1000/A12/A12</f>
        <v>0.2838</v>
      </c>
      <c r="F17" s="354"/>
      <c r="G17" s="354">
        <f>E14+E16</f>
        <v>0.76448282399089351</v>
      </c>
      <c r="H17" s="354"/>
      <c r="I17" s="354"/>
      <c r="J17" s="354"/>
      <c r="K17" s="354" t="s">
        <v>521</v>
      </c>
      <c r="L17" s="358">
        <f>1.1*L18/0.15</f>
        <v>1.7640120690498471</v>
      </c>
      <c r="M17" s="354" t="s">
        <v>521</v>
      </c>
      <c r="N17" s="354">
        <f>0.9*N18/0.15</f>
        <v>1.2913540769893004</v>
      </c>
      <c r="O17" s="356"/>
      <c r="P17" s="356"/>
      <c r="Q17" s="356"/>
      <c r="R17" s="356"/>
      <c r="S17" s="356"/>
      <c r="T17" s="356">
        <f>SQRT(T16)/90</f>
        <v>7.7247110457764542E-2</v>
      </c>
      <c r="U17" s="356"/>
    </row>
    <row r="18" spans="1:23" ht="18.75" x14ac:dyDescent="0.3">
      <c r="D18" s="354"/>
      <c r="E18" s="354"/>
      <c r="F18" s="354"/>
      <c r="G18" s="354"/>
      <c r="H18" s="356"/>
      <c r="I18" s="354"/>
      <c r="J18" s="354"/>
      <c r="K18" s="354" t="s">
        <v>522</v>
      </c>
      <c r="L18" s="358">
        <f>4*0.5/1.73/6/0.89/0.9</f>
        <v>0.24054710032497911</v>
      </c>
      <c r="M18" s="354" t="s">
        <v>522</v>
      </c>
      <c r="N18" s="354">
        <f>3*0.63/1.73/6/0.94/0.9</f>
        <v>0.21522567949821672</v>
      </c>
      <c r="O18" s="356"/>
      <c r="P18" s="356">
        <f>E14+E16+E13+E17</f>
        <v>7.6082828239908933</v>
      </c>
      <c r="Q18" s="356"/>
      <c r="R18" s="356"/>
      <c r="S18" s="356"/>
      <c r="T18" s="356"/>
      <c r="U18" s="356"/>
    </row>
    <row r="19" spans="1:23" ht="18.75" x14ac:dyDescent="0.3">
      <c r="D19" s="354"/>
      <c r="E19" s="354"/>
      <c r="F19" s="354"/>
      <c r="G19" s="354"/>
      <c r="H19" s="354"/>
      <c r="I19" s="354"/>
      <c r="J19" s="354"/>
      <c r="K19" s="354" t="s">
        <v>523</v>
      </c>
      <c r="L19" s="354"/>
      <c r="M19" s="354" t="s">
        <v>524</v>
      </c>
      <c r="N19" s="359"/>
      <c r="O19" s="356"/>
      <c r="P19" s="356"/>
      <c r="Q19" s="356"/>
      <c r="R19" s="356"/>
      <c r="S19" s="356">
        <f>0.821/0.211</f>
        <v>3.890995260663507</v>
      </c>
      <c r="T19" s="356"/>
      <c r="U19" s="356"/>
    </row>
    <row r="20" spans="1:23" ht="18.75" x14ac:dyDescent="0.3">
      <c r="D20" s="354" t="s">
        <v>525</v>
      </c>
      <c r="E20" s="354">
        <f>E14+E16+E13</f>
        <v>7.324482823990893</v>
      </c>
      <c r="F20" s="354"/>
      <c r="G20" s="354"/>
      <c r="H20" s="354"/>
      <c r="I20" s="354" t="s">
        <v>138</v>
      </c>
      <c r="J20" s="354"/>
      <c r="K20" s="354" t="s">
        <v>139</v>
      </c>
      <c r="L20" s="354"/>
      <c r="M20" s="354" t="s">
        <v>526</v>
      </c>
      <c r="N20" s="359"/>
      <c r="O20" s="356"/>
      <c r="P20" s="356"/>
      <c r="Q20" s="356"/>
      <c r="R20" s="356"/>
      <c r="S20" s="356"/>
      <c r="T20" s="356"/>
      <c r="U20" s="356"/>
    </row>
    <row r="21" spans="1:23" ht="18.75" x14ac:dyDescent="0.3">
      <c r="D21" s="354" t="s">
        <v>527</v>
      </c>
      <c r="E21" s="354">
        <f>E14+E16+E13+E17</f>
        <v>7.6082828239908933</v>
      </c>
      <c r="F21" s="354"/>
      <c r="G21" s="354"/>
      <c r="H21" s="354"/>
      <c r="I21" s="354"/>
      <c r="J21" s="354"/>
      <c r="K21" s="354"/>
      <c r="L21" s="354"/>
      <c r="M21" s="354"/>
      <c r="N21" s="359"/>
      <c r="O21" s="356"/>
      <c r="P21" s="356"/>
      <c r="Q21" s="356"/>
      <c r="R21" s="356"/>
      <c r="S21" s="356"/>
      <c r="T21" s="356"/>
      <c r="U21" s="356"/>
    </row>
    <row r="22" spans="1:23" ht="18.75" x14ac:dyDescent="0.3"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9"/>
      <c r="O22" s="356"/>
      <c r="P22" s="363">
        <f>E13+E14+E16+E17</f>
        <v>7.6082828239908933</v>
      </c>
      <c r="Q22" s="356"/>
      <c r="R22" s="356"/>
      <c r="S22" s="356"/>
      <c r="T22" s="356"/>
      <c r="U22" s="356"/>
    </row>
    <row r="23" spans="1:23" ht="18.75" x14ac:dyDescent="0.3">
      <c r="D23" s="354" t="s">
        <v>528</v>
      </c>
      <c r="E23" s="354">
        <f>0.09*0.54*1000/A12/A12</f>
        <v>0.48600000000000004</v>
      </c>
      <c r="F23" s="354"/>
      <c r="G23" s="359"/>
      <c r="H23" s="359"/>
      <c r="I23" s="354"/>
      <c r="J23" s="364"/>
      <c r="K23" s="359"/>
      <c r="L23" s="359"/>
      <c r="M23" s="359"/>
      <c r="N23" s="356"/>
      <c r="O23" s="356"/>
      <c r="P23" s="356"/>
      <c r="Q23" s="356"/>
      <c r="R23" s="356"/>
      <c r="S23" s="356"/>
      <c r="T23" s="356"/>
      <c r="U23" s="356"/>
    </row>
    <row r="24" spans="1:23" ht="18.75" x14ac:dyDescent="0.3">
      <c r="A24" s="419" t="s">
        <v>665</v>
      </c>
      <c r="B24" s="419">
        <f>E13+E14+E16</f>
        <v>7.324482823990893</v>
      </c>
      <c r="C24" s="420">
        <v>2.64</v>
      </c>
      <c r="D24" s="419">
        <v>0</v>
      </c>
      <c r="E24" s="419">
        <v>0</v>
      </c>
      <c r="F24" s="419">
        <v>0</v>
      </c>
      <c r="G24" s="421">
        <f t="shared" ref="G24" si="9">E24*D24*(1000/POWER(10.5, 2))</f>
        <v>0</v>
      </c>
      <c r="H24" s="421">
        <f t="shared" ref="H24" si="10">F24*D24*1000/POWER(10.5, 2)</f>
        <v>0</v>
      </c>
      <c r="I24" s="421">
        <f t="shared" ref="I24:J24" si="11">B24+G24</f>
        <v>7.324482823990893</v>
      </c>
      <c r="J24" s="421">
        <f t="shared" si="11"/>
        <v>2.64</v>
      </c>
      <c r="K24" s="421">
        <f t="shared" ref="K24" si="12">SQRT(POWER(I24, 2)+POWER(J24, 2))</f>
        <v>7.785733660929945</v>
      </c>
      <c r="L24" s="422">
        <f>F33/K24+N33</f>
        <v>7.070743041108579</v>
      </c>
      <c r="M24" s="422">
        <f>1.41*L24*U10</f>
        <v>11.853209933482157</v>
      </c>
      <c r="N24" s="422">
        <f t="shared" ref="N24" si="13">1.02+0.98*POWER(2.72, -3/(I24/J24))</f>
        <v>1.3521425694076403</v>
      </c>
      <c r="O24" s="422">
        <f t="shared" ref="O24" si="14">L24*SQRT(1+2*POWER(N24-1, 2))</f>
        <v>7.8990320296862135</v>
      </c>
    </row>
    <row r="25" spans="1:23" ht="18.75" x14ac:dyDescent="0.3">
      <c r="I25" s="190"/>
      <c r="J25" s="295"/>
    </row>
    <row r="26" spans="1:23" ht="18.75" x14ac:dyDescent="0.3">
      <c r="I26" s="190"/>
      <c r="J26" s="295"/>
      <c r="P26" s="589" t="s">
        <v>312</v>
      </c>
      <c r="Q26" s="589"/>
      <c r="R26" s="589"/>
      <c r="S26" s="589"/>
      <c r="T26" s="589"/>
      <c r="U26" s="589"/>
    </row>
    <row r="27" spans="1:23" ht="18.75" x14ac:dyDescent="0.3">
      <c r="A27" s="334" t="s">
        <v>529</v>
      </c>
      <c r="B27" s="334" t="s">
        <v>530</v>
      </c>
      <c r="C27" s="334" t="s">
        <v>531</v>
      </c>
      <c r="D27" s="334" t="s">
        <v>532</v>
      </c>
      <c r="E27" s="311" t="s">
        <v>533</v>
      </c>
      <c r="I27" s="256"/>
      <c r="J27" s="256"/>
      <c r="K27" s="353" t="s">
        <v>685</v>
      </c>
      <c r="L27" s="352" t="s">
        <v>686</v>
      </c>
      <c r="M27" s="352" t="s">
        <v>687</v>
      </c>
      <c r="P27" s="657" t="s">
        <v>155</v>
      </c>
      <c r="Q27" s="335" t="s">
        <v>314</v>
      </c>
      <c r="R27" s="335" t="s">
        <v>315</v>
      </c>
      <c r="S27" s="335" t="s">
        <v>316</v>
      </c>
      <c r="T27" s="335" t="s">
        <v>317</v>
      </c>
      <c r="U27" s="335" t="s">
        <v>318</v>
      </c>
      <c r="V27" s="336" t="s">
        <v>534</v>
      </c>
      <c r="W27" s="336" t="s">
        <v>322</v>
      </c>
    </row>
    <row r="28" spans="1:23" ht="18.75" x14ac:dyDescent="0.3">
      <c r="A28" s="334" t="s">
        <v>535</v>
      </c>
      <c r="B28" s="334">
        <v>110</v>
      </c>
      <c r="C28" s="334">
        <v>3150</v>
      </c>
      <c r="D28" s="334">
        <v>40</v>
      </c>
      <c r="I28" s="190"/>
      <c r="J28" s="295"/>
      <c r="K28" s="352" t="s">
        <v>683</v>
      </c>
      <c r="L28" s="352">
        <v>0.08</v>
      </c>
      <c r="M28" s="352">
        <v>0.443</v>
      </c>
      <c r="P28" s="657"/>
      <c r="Q28" s="335" t="s">
        <v>319</v>
      </c>
      <c r="R28" s="335" t="s">
        <v>320</v>
      </c>
      <c r="S28" s="335" t="s">
        <v>27</v>
      </c>
      <c r="T28" s="335" t="s">
        <v>27</v>
      </c>
      <c r="U28" s="335" t="s">
        <v>320</v>
      </c>
      <c r="V28" s="337"/>
      <c r="W28" s="336"/>
    </row>
    <row r="29" spans="1:23" ht="18.75" x14ac:dyDescent="0.3">
      <c r="I29" s="190"/>
      <c r="J29" s="295"/>
      <c r="K29" s="352" t="s">
        <v>688</v>
      </c>
      <c r="L29" s="352">
        <v>7.0999999999999994E-2</v>
      </c>
      <c r="M29" s="352">
        <v>0.129</v>
      </c>
      <c r="P29" s="335"/>
      <c r="Q29" s="335"/>
      <c r="R29" s="335"/>
      <c r="S29" s="335"/>
      <c r="T29" s="335"/>
      <c r="U29" s="335"/>
      <c r="V29" s="336"/>
      <c r="W29" s="336"/>
    </row>
    <row r="30" spans="1:23" ht="18.75" x14ac:dyDescent="0.3">
      <c r="I30" s="190"/>
      <c r="J30" s="295"/>
      <c r="K30" s="352" t="s">
        <v>684</v>
      </c>
      <c r="L30" s="352">
        <v>7.8E-2</v>
      </c>
      <c r="M30" s="352">
        <v>0.32</v>
      </c>
      <c r="P30" s="335" t="s">
        <v>536</v>
      </c>
      <c r="Q30" s="335">
        <v>1600</v>
      </c>
      <c r="R30" s="335">
        <v>6</v>
      </c>
      <c r="S30" s="335">
        <v>16.5</v>
      </c>
      <c r="T30" s="335">
        <v>2.1</v>
      </c>
      <c r="U30" s="335">
        <v>1</v>
      </c>
      <c r="V30" s="336">
        <v>16</v>
      </c>
      <c r="W30" s="336">
        <v>96</v>
      </c>
    </row>
    <row r="32" spans="1:23" ht="18.75" x14ac:dyDescent="0.3">
      <c r="C32">
        <v>115</v>
      </c>
      <c r="E32" t="s">
        <v>501</v>
      </c>
      <c r="F32" s="307">
        <f>C34/(1.73*C32)</f>
        <v>5.0263885398341293</v>
      </c>
    </row>
    <row r="33" spans="1:16" ht="18.75" x14ac:dyDescent="0.3">
      <c r="C33">
        <v>10.5</v>
      </c>
      <c r="E33" t="s">
        <v>503</v>
      </c>
      <c r="F33" s="307">
        <f>C34/(1.73*C33)</f>
        <v>55.050922102945229</v>
      </c>
    </row>
    <row r="34" spans="1:16" x14ac:dyDescent="0.25">
      <c r="C34">
        <v>1000</v>
      </c>
    </row>
    <row r="35" spans="1:16" ht="18.75" x14ac:dyDescent="0.3">
      <c r="E35" s="311" t="s">
        <v>537</v>
      </c>
      <c r="F35" s="299">
        <f>10.5/100*(1000/25)</f>
        <v>4.2</v>
      </c>
      <c r="G35" s="311" t="s">
        <v>538</v>
      </c>
      <c r="H35" s="299">
        <f>1.65/25*(1000/25)</f>
        <v>2.64</v>
      </c>
    </row>
    <row r="36" spans="1:16" ht="18.75" x14ac:dyDescent="0.3">
      <c r="E36" s="299" t="s">
        <v>509</v>
      </c>
      <c r="F36" s="332">
        <f>F32/40</f>
        <v>0.12565971349585323</v>
      </c>
      <c r="G36" s="299" t="s">
        <v>539</v>
      </c>
      <c r="H36" s="299">
        <f>0.4*30*(1000/(110*110))</f>
        <v>0.99173553719008267</v>
      </c>
      <c r="I36" s="311"/>
      <c r="J36" s="311" t="s">
        <v>540</v>
      </c>
      <c r="K36" s="311"/>
      <c r="L36" s="311" t="s">
        <v>541</v>
      </c>
      <c r="M36" s="311"/>
      <c r="N36" s="311"/>
    </row>
    <row r="37" spans="1:16" ht="18.75" x14ac:dyDescent="0.3">
      <c r="E37" s="299" t="s">
        <v>542</v>
      </c>
      <c r="F37" s="299">
        <f>S30*36/Q30/Q30*1000</f>
        <v>0.23203124999999999</v>
      </c>
      <c r="G37" s="299" t="s">
        <v>543</v>
      </c>
      <c r="H37" s="299">
        <f>0.01/1.6*(1000/1.6)</f>
        <v>3.9062499999999996</v>
      </c>
      <c r="I37" s="311" t="s">
        <v>544</v>
      </c>
      <c r="J37" s="332">
        <f>F43+F35+F36+F38</f>
        <v>6.7513994611907728</v>
      </c>
      <c r="K37" s="312" t="s">
        <v>543</v>
      </c>
      <c r="L37" s="311">
        <f>S30/Q30</f>
        <v>1.03125E-2</v>
      </c>
      <c r="M37" s="313" t="s">
        <v>545</v>
      </c>
      <c r="N37" s="313">
        <f>L37*(400*400/1000)</f>
        <v>1.6500000000000001</v>
      </c>
      <c r="P37" s="413" t="s">
        <v>712</v>
      </c>
    </row>
    <row r="38" spans="1:16" ht="18.75" x14ac:dyDescent="0.3">
      <c r="E38" s="299" t="s">
        <v>518</v>
      </c>
      <c r="F38" s="299">
        <f>30*0.4*(A13/(A11*A11))</f>
        <v>0.90737240075614367</v>
      </c>
      <c r="G38" s="299"/>
      <c r="H38" s="299"/>
      <c r="I38" s="311"/>
      <c r="J38" s="311"/>
      <c r="K38" s="314" t="s">
        <v>542</v>
      </c>
      <c r="L38" s="314">
        <f>SQRT(0.06*0.06-0.01*0.01)</f>
        <v>5.9160797830996162E-2</v>
      </c>
      <c r="M38" s="313" t="s">
        <v>546</v>
      </c>
      <c r="N38" s="313">
        <f>L38*(400*400/1000)</f>
        <v>9.4657276529593855</v>
      </c>
    </row>
    <row r="39" spans="1:16" ht="18.75" x14ac:dyDescent="0.3">
      <c r="E39" s="299" t="s">
        <v>547</v>
      </c>
      <c r="F39" s="332">
        <f>F36+F38</f>
        <v>1.0330321142519969</v>
      </c>
      <c r="G39" s="299"/>
      <c r="H39" s="299"/>
      <c r="M39" s="313" t="s">
        <v>525</v>
      </c>
      <c r="N39" s="313">
        <f>F35+F36+F37+F38+F42</f>
        <v>6.364836606882383</v>
      </c>
    </row>
    <row r="40" spans="1:16" ht="20.25" x14ac:dyDescent="0.3">
      <c r="A40" s="22" t="s">
        <v>548</v>
      </c>
      <c r="B40">
        <f>F42+F35+F36+F37+F38</f>
        <v>6.364836606882383</v>
      </c>
      <c r="C40" s="315" t="s">
        <v>549</v>
      </c>
      <c r="D40" s="313">
        <f>0.02*0.075*1000/(C33*C33)</f>
        <v>1.3605442176870748E-2</v>
      </c>
      <c r="E40" s="299" t="s">
        <v>550</v>
      </c>
      <c r="F40" s="311">
        <f>F35+F36+F38</f>
        <v>5.2330321142519969</v>
      </c>
      <c r="G40" s="299"/>
      <c r="H40" s="299"/>
      <c r="J40" s="311" t="s">
        <v>551</v>
      </c>
      <c r="M40" s="313" t="s">
        <v>552</v>
      </c>
      <c r="N40" s="313">
        <f>H35+H36+H37+H42</f>
        <v>8.2690512968272696</v>
      </c>
    </row>
    <row r="41" spans="1:16" ht="20.25" x14ac:dyDescent="0.3">
      <c r="A41" s="22" t="s">
        <v>553</v>
      </c>
      <c r="B41" s="22">
        <f>F35+F36+F37+F38+F43</f>
        <v>6.9834307111907732</v>
      </c>
      <c r="C41" s="315" t="s">
        <v>554</v>
      </c>
      <c r="D41" s="313">
        <f>0.05*0.62*1000/(C33*C33)</f>
        <v>0.28117913832199548</v>
      </c>
      <c r="E41" s="299" t="s">
        <v>555</v>
      </c>
      <c r="F41" s="299">
        <f>6.3*(0.4*0.4/1000)</f>
        <v>1.0080000000000002E-3</v>
      </c>
      <c r="G41" s="299" t="s">
        <v>556</v>
      </c>
      <c r="H41" s="299">
        <f>10*(0.4*0.4/1000)</f>
        <v>1.6000000000000003E-3</v>
      </c>
      <c r="J41" s="313" t="s">
        <v>549</v>
      </c>
      <c r="K41" s="313">
        <f>0.12*0.037*1000/(10.5*10.5)/3</f>
        <v>1.3424036281179136E-2</v>
      </c>
      <c r="M41" s="313" t="s">
        <v>557</v>
      </c>
      <c r="N41" s="313">
        <f>SQRT(N39*N39+N40*N40)</f>
        <v>10.434958283667012</v>
      </c>
    </row>
    <row r="42" spans="1:16" ht="20.25" x14ac:dyDescent="0.3">
      <c r="A42" s="22" t="s">
        <v>558</v>
      </c>
      <c r="B42" s="316">
        <f>F36+F37+F38+F44+F35</f>
        <v>6.0836574685603875</v>
      </c>
      <c r="C42" s="315" t="s">
        <v>559</v>
      </c>
      <c r="D42" s="313">
        <f>0.27*0.62*1000/(C33*C33)</f>
        <v>1.5183673469387757</v>
      </c>
      <c r="E42" s="299" t="s">
        <v>560</v>
      </c>
      <c r="F42" s="299">
        <f>0.16*0.62*1000/(C33*C33)</f>
        <v>0.89977324263038549</v>
      </c>
      <c r="G42" s="299" t="s">
        <v>561</v>
      </c>
      <c r="H42" s="299">
        <f>0.13*0.62*(1000/(10.5*10.5))</f>
        <v>0.73106575963718823</v>
      </c>
      <c r="J42" s="313" t="s">
        <v>562</v>
      </c>
      <c r="K42" s="313">
        <f>(0.14*1000/(10.5*10.5))/3</f>
        <v>0.42328042328042326</v>
      </c>
      <c r="M42" s="313" t="s">
        <v>563</v>
      </c>
      <c r="N42" s="313">
        <v>1.18</v>
      </c>
    </row>
    <row r="43" spans="1:16" ht="18.75" x14ac:dyDescent="0.3">
      <c r="A43" s="22" t="s">
        <v>564</v>
      </c>
      <c r="B43" s="22">
        <f>F35+F36+F37+F38+F45</f>
        <v>5.9711858132315889</v>
      </c>
      <c r="E43" s="299" t="s">
        <v>565</v>
      </c>
      <c r="F43" s="299">
        <f>0.27*0.62*1000/(C33*C33)</f>
        <v>1.5183673469387757</v>
      </c>
      <c r="G43" s="311"/>
      <c r="H43" s="311"/>
      <c r="J43" s="313" t="s">
        <v>525</v>
      </c>
      <c r="K43" s="310">
        <f>F35+F36+F38</f>
        <v>5.2330321142519969</v>
      </c>
    </row>
    <row r="44" spans="1:16" ht="18.75" x14ac:dyDescent="0.3">
      <c r="A44" s="22" t="s">
        <v>566</v>
      </c>
      <c r="B44" s="22">
        <f>F35+F36+F38+D40</f>
        <v>5.2466375564288672</v>
      </c>
      <c r="E44" s="299" t="s">
        <v>567</v>
      </c>
      <c r="F44" s="299">
        <f>0.11*0.62*1000/(C33*C33)</f>
        <v>0.61859410430839001</v>
      </c>
      <c r="G44" s="311"/>
      <c r="H44" s="311"/>
    </row>
    <row r="45" spans="1:16" ht="18.75" x14ac:dyDescent="0.3">
      <c r="A45" s="22" t="s">
        <v>568</v>
      </c>
      <c r="B45" s="316">
        <f>F36+F38+F35+D41</f>
        <v>5.5142112525739924</v>
      </c>
      <c r="E45" s="299" t="s">
        <v>569</v>
      </c>
      <c r="F45" s="299">
        <f>0.09*0.62*1000/(C33*C33)</f>
        <v>0.5061224489795918</v>
      </c>
      <c r="G45" s="311"/>
      <c r="H45" s="311"/>
    </row>
    <row r="46" spans="1:16" ht="15.75" x14ac:dyDescent="0.25">
      <c r="A46" s="313" t="s">
        <v>570</v>
      </c>
      <c r="B46" s="22">
        <f>F37+F38+F40+D42</f>
        <v>7.8908031119469166</v>
      </c>
    </row>
    <row r="47" spans="1:16" ht="18.75" x14ac:dyDescent="0.3">
      <c r="A47" s="328" t="s">
        <v>571</v>
      </c>
      <c r="B47" s="329"/>
      <c r="C47" s="328" t="s">
        <v>572</v>
      </c>
      <c r="D47" s="329"/>
      <c r="E47" s="328" t="s">
        <v>541</v>
      </c>
      <c r="F47" s="328"/>
      <c r="G47" s="328" t="s">
        <v>540</v>
      </c>
      <c r="H47" s="328"/>
      <c r="I47" s="328" t="s">
        <v>551</v>
      </c>
      <c r="J47" s="328"/>
      <c r="K47" s="328" t="s">
        <v>663</v>
      </c>
      <c r="L47" s="328"/>
      <c r="M47" s="190" t="s">
        <v>519</v>
      </c>
      <c r="N47" s="317">
        <f>F33/F40</f>
        <v>10.519889979848545</v>
      </c>
      <c r="O47" s="190" t="s">
        <v>519</v>
      </c>
      <c r="P47" s="317">
        <f>F33/F40</f>
        <v>10.519889979848545</v>
      </c>
    </row>
    <row r="48" spans="1:16" ht="18.75" x14ac:dyDescent="0.3">
      <c r="A48" s="329" t="s">
        <v>573</v>
      </c>
      <c r="B48" s="330">
        <f>F32/F36</f>
        <v>40</v>
      </c>
      <c r="C48" s="329" t="s">
        <v>573</v>
      </c>
      <c r="D48" s="330">
        <f>F32/F39</f>
        <v>4.8656653268457797</v>
      </c>
      <c r="E48" s="329" t="s">
        <v>573</v>
      </c>
      <c r="F48" s="330">
        <f>N47+N48+P47+P48</f>
        <v>23.1248950224516</v>
      </c>
      <c r="G48" s="329" t="s">
        <v>573</v>
      </c>
      <c r="H48" s="330">
        <f>F33/J37</f>
        <v>8.1540016139462246</v>
      </c>
      <c r="I48" s="329" t="s">
        <v>573</v>
      </c>
      <c r="J48" s="329">
        <f>400/(1.73*N41)</f>
        <v>22.157623111370764</v>
      </c>
      <c r="K48" s="329" t="s">
        <v>573</v>
      </c>
      <c r="L48" s="330">
        <f>F33/K43</f>
        <v>10.519889979848545</v>
      </c>
      <c r="M48" s="190" t="s">
        <v>521</v>
      </c>
      <c r="N48" s="190">
        <f>1.1*N49/0.15</f>
        <v>1.2520019836914547</v>
      </c>
      <c r="O48" s="190" t="s">
        <v>521</v>
      </c>
      <c r="P48" s="190">
        <f>0.9*P49/0.15</f>
        <v>0.83311307906305621</v>
      </c>
    </row>
    <row r="49" spans="1:16" ht="18.75" x14ac:dyDescent="0.3">
      <c r="A49" s="329" t="s">
        <v>574</v>
      </c>
      <c r="B49" s="329">
        <f>1.414*1.608*B48</f>
        <v>90.948480000000004</v>
      </c>
      <c r="C49" s="329" t="s">
        <v>574</v>
      </c>
      <c r="D49" s="329">
        <f>1.414*1.608*D48</f>
        <v>11.063121641633172</v>
      </c>
      <c r="E49" s="329" t="s">
        <v>574</v>
      </c>
      <c r="F49" s="330">
        <f>1.414*(1.7*N47+P47+6*N49+P49)</f>
        <v>41.807625424133825</v>
      </c>
      <c r="G49" s="329" t="s">
        <v>574</v>
      </c>
      <c r="H49" s="331">
        <f>1.414*1.608*H48</f>
        <v>18.5398513176489</v>
      </c>
      <c r="I49" s="329" t="s">
        <v>574</v>
      </c>
      <c r="J49" s="329">
        <f>1.414*J48*N42</f>
        <v>36.970437313784345</v>
      </c>
      <c r="K49" s="329" t="s">
        <v>574</v>
      </c>
      <c r="L49" s="329">
        <f>1.414*1.608*L48</f>
        <v>23.919200085861394</v>
      </c>
      <c r="M49" s="309" t="s">
        <v>522</v>
      </c>
      <c r="N49" s="309">
        <f>4*(630/(1.73*10*0.9*0.948*1000))</f>
        <v>0.1707275432306529</v>
      </c>
      <c r="O49" s="309" t="s">
        <v>522</v>
      </c>
      <c r="P49" s="309">
        <f>2*(1000/(1.73*10*0.87*0.957*1000))</f>
        <v>0.13885217984384268</v>
      </c>
    </row>
    <row r="50" spans="1:16" ht="18.75" x14ac:dyDescent="0.3">
      <c r="A50" s="329" t="s">
        <v>507</v>
      </c>
      <c r="B50" s="329">
        <f>B48*SQRT(1+2*POWER(0.608, 2))</f>
        <v>52.753434011446117</v>
      </c>
      <c r="C50" s="329" t="s">
        <v>507</v>
      </c>
      <c r="D50" s="329">
        <f>D48*SQRT(1+2*POWER(0.608, 2))</f>
        <v>6.4170138685385067</v>
      </c>
      <c r="E50" s="329" t="s">
        <v>507</v>
      </c>
      <c r="F50" s="329">
        <f>F48*SQRT(1+2*POWER(0.7, 2))</f>
        <v>32.539611617270808</v>
      </c>
      <c r="G50" s="329" t="s">
        <v>507</v>
      </c>
      <c r="H50" s="329">
        <f>H48*SQRT(1+2*POWER(0.608, 2))</f>
        <v>10.753789651763434</v>
      </c>
      <c r="I50" s="329" t="s">
        <v>507</v>
      </c>
      <c r="J50" s="329">
        <f>J48*SQRT(1+2*POWER(0.7, 2))</f>
        <v>31.178539392540387</v>
      </c>
      <c r="K50" s="329" t="s">
        <v>507</v>
      </c>
      <c r="L50" s="329">
        <f>L48*SQRT(1+2*POWER(0.608, 2))</f>
        <v>13.874008046490337</v>
      </c>
      <c r="M50" s="190" t="s">
        <v>523</v>
      </c>
      <c r="N50" s="190"/>
      <c r="O50" s="190" t="s">
        <v>524</v>
      </c>
      <c r="P50" s="308"/>
    </row>
    <row r="51" spans="1:16" ht="15.75" x14ac:dyDescent="0.25">
      <c r="A51" s="328" t="s">
        <v>510</v>
      </c>
      <c r="B51" s="330">
        <f>B48*1.414*0.846</f>
        <v>47.849759999999996</v>
      </c>
      <c r="C51" s="328" t="s">
        <v>510</v>
      </c>
      <c r="D51" s="330">
        <f>D48*1.414*0.846</f>
        <v>5.8205229532473028</v>
      </c>
      <c r="E51" s="328" t="s">
        <v>510</v>
      </c>
      <c r="F51" s="330">
        <f>F48*1.414*0.846</f>
        <v>27.663016921237592</v>
      </c>
      <c r="G51" s="328" t="s">
        <v>510</v>
      </c>
      <c r="H51" s="330">
        <f>H48*1.414*0.846</f>
        <v>9.7541755066734854</v>
      </c>
      <c r="I51" s="328" t="s">
        <v>510</v>
      </c>
      <c r="J51" s="330">
        <f>J48*1.414*0.846</f>
        <v>26.505923701238604</v>
      </c>
      <c r="K51" s="328" t="s">
        <v>510</v>
      </c>
      <c r="L51" s="330">
        <f>L48*1.414*0.846</f>
        <v>12.58435526905394</v>
      </c>
    </row>
    <row r="52" spans="1:16" ht="15.75" x14ac:dyDescent="0.25">
      <c r="A52" s="331" t="s">
        <v>662</v>
      </c>
      <c r="B52" s="331">
        <f>C34/F36</f>
        <v>7958</v>
      </c>
      <c r="C52" s="331" t="s">
        <v>662</v>
      </c>
      <c r="D52" s="331">
        <f>C34/F39</f>
        <v>968.02411677596785</v>
      </c>
      <c r="E52" s="331" t="s">
        <v>662</v>
      </c>
      <c r="F52" s="331">
        <f>1000/F40</f>
        <v>191.09380148394879</v>
      </c>
      <c r="G52" s="331" t="s">
        <v>662</v>
      </c>
      <c r="H52" s="331">
        <f>1000/J37</f>
        <v>148.11743931733315</v>
      </c>
      <c r="I52" s="331" t="s">
        <v>662</v>
      </c>
      <c r="J52" s="331">
        <f>1000/(F42+F35+F36+F38+F37)</f>
        <v>157.11322407219168</v>
      </c>
      <c r="K52" s="331" t="s">
        <v>662</v>
      </c>
      <c r="L52" s="331">
        <f>1000/K43</f>
        <v>191.09380148394879</v>
      </c>
    </row>
    <row r="54" spans="1:16" ht="94.5" x14ac:dyDescent="0.25">
      <c r="A54" s="339" t="s">
        <v>667</v>
      </c>
      <c r="B54" s="340" t="s">
        <v>669</v>
      </c>
      <c r="C54" s="340" t="s">
        <v>670</v>
      </c>
      <c r="D54" s="340" t="s">
        <v>671</v>
      </c>
      <c r="E54" s="340" t="s">
        <v>222</v>
      </c>
      <c r="F54" s="340" t="s">
        <v>672</v>
      </c>
      <c r="G54" s="340" t="s">
        <v>673</v>
      </c>
      <c r="H54" s="340" t="s">
        <v>674</v>
      </c>
      <c r="I54" s="340" t="s">
        <v>675</v>
      </c>
      <c r="J54" s="340" t="s">
        <v>676</v>
      </c>
      <c r="K54" s="340" t="s">
        <v>677</v>
      </c>
      <c r="L54" s="340" t="s">
        <v>678</v>
      </c>
      <c r="M54" s="340" t="s">
        <v>679</v>
      </c>
      <c r="N54" s="340" t="s">
        <v>680</v>
      </c>
    </row>
    <row r="55" spans="1:16" ht="31.5" x14ac:dyDescent="0.25">
      <c r="A55" s="341" t="s">
        <v>681</v>
      </c>
      <c r="B55" s="340">
        <v>630</v>
      </c>
      <c r="C55" s="340">
        <v>750</v>
      </c>
      <c r="D55" s="340">
        <v>71</v>
      </c>
      <c r="E55" s="340">
        <v>94.8</v>
      </c>
      <c r="F55" s="340">
        <v>1.7</v>
      </c>
      <c r="G55" s="340">
        <v>0.9</v>
      </c>
      <c r="H55" s="340">
        <v>1.3</v>
      </c>
      <c r="I55" s="340">
        <v>5.5</v>
      </c>
      <c r="J55" s="340">
        <v>45</v>
      </c>
      <c r="K55" s="340">
        <v>170</v>
      </c>
      <c r="L55" s="340">
        <v>2.2999999999999998</v>
      </c>
      <c r="M55" s="340">
        <v>0.9</v>
      </c>
      <c r="N55" s="342">
        <v>0.43588989435406728</v>
      </c>
    </row>
    <row r="56" spans="1:16" ht="94.5" x14ac:dyDescent="0.25">
      <c r="A56" s="343" t="s">
        <v>668</v>
      </c>
      <c r="B56" s="340" t="s">
        <v>669</v>
      </c>
      <c r="C56" s="340" t="s">
        <v>670</v>
      </c>
      <c r="D56" s="340" t="s">
        <v>671</v>
      </c>
      <c r="E56" s="340" t="s">
        <v>222</v>
      </c>
      <c r="F56" s="340" t="s">
        <v>672</v>
      </c>
      <c r="G56" s="340" t="s">
        <v>673</v>
      </c>
      <c r="H56" s="340" t="s">
        <v>674</v>
      </c>
      <c r="I56" s="340" t="s">
        <v>675</v>
      </c>
      <c r="J56" s="340" t="s">
        <v>676</v>
      </c>
      <c r="K56" s="340" t="s">
        <v>677</v>
      </c>
      <c r="L56" s="340" t="s">
        <v>678</v>
      </c>
      <c r="M56" s="340" t="s">
        <v>679</v>
      </c>
      <c r="N56" s="340" t="s">
        <v>680</v>
      </c>
    </row>
    <row r="57" spans="1:16" ht="15.75" x14ac:dyDescent="0.25">
      <c r="A57" s="343" t="s">
        <v>682</v>
      </c>
      <c r="B57" s="343">
        <v>1000</v>
      </c>
      <c r="C57" s="343">
        <v>1486</v>
      </c>
      <c r="D57" s="343">
        <v>69.3</v>
      </c>
      <c r="E57" s="343">
        <v>95.7</v>
      </c>
      <c r="F57" s="343">
        <v>2.2999999999999998</v>
      </c>
      <c r="G57" s="343">
        <v>0.9</v>
      </c>
      <c r="H57" s="343"/>
      <c r="I57" s="343">
        <v>6</v>
      </c>
      <c r="J57" s="343"/>
      <c r="K57" s="343"/>
      <c r="L57" s="343"/>
      <c r="M57" s="343">
        <v>0.87</v>
      </c>
      <c r="N57" s="343"/>
    </row>
  </sheetData>
  <mergeCells count="3">
    <mergeCell ref="A2:O2"/>
    <mergeCell ref="P26:U26"/>
    <mergeCell ref="P27:P28"/>
  </mergeCells>
  <pageMargins left="0.70000004768371604" right="0.70000004768371604" top="0.75" bottom="0.75" header="0.30000001192092901" footer="0.30000001192092901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T15"/>
  <sheetViews>
    <sheetView workbookViewId="0">
      <selection activeCell="U17" sqref="U17"/>
    </sheetView>
  </sheetViews>
  <sheetFormatPr defaultColWidth="9.140625" defaultRowHeight="15" x14ac:dyDescent="0.25"/>
  <cols>
    <col min="1" max="1" width="12.42578125" customWidth="1"/>
    <col min="13" max="13" width="12.85546875" customWidth="1"/>
    <col min="16" max="16" width="5.42578125" customWidth="1"/>
  </cols>
  <sheetData>
    <row r="2" spans="1:20" ht="18.75" x14ac:dyDescent="0.3">
      <c r="A2" s="599" t="s">
        <v>575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</row>
    <row r="3" spans="1:20" ht="18.75" x14ac:dyDescent="0.3">
      <c r="A3" s="600" t="s">
        <v>576</v>
      </c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1"/>
      <c r="N3" s="601"/>
      <c r="O3" s="601"/>
      <c r="P3" s="602"/>
    </row>
    <row r="4" spans="1:20" ht="15.75" x14ac:dyDescent="0.25">
      <c r="A4" s="504" t="s">
        <v>475</v>
      </c>
      <c r="B4" s="482" t="s">
        <v>577</v>
      </c>
      <c r="C4" s="484"/>
      <c r="D4" s="482" t="s">
        <v>578</v>
      </c>
      <c r="E4" s="484"/>
      <c r="F4" s="482" t="s">
        <v>579</v>
      </c>
      <c r="G4" s="484"/>
      <c r="H4" s="482" t="s">
        <v>580</v>
      </c>
      <c r="I4" s="484"/>
      <c r="J4" s="482" t="s">
        <v>581</v>
      </c>
      <c r="K4" s="482" t="s">
        <v>582</v>
      </c>
      <c r="L4" s="482" t="s">
        <v>583</v>
      </c>
      <c r="M4" s="482" t="s">
        <v>584</v>
      </c>
      <c r="N4" s="482" t="s">
        <v>585</v>
      </c>
      <c r="O4" s="482" t="s">
        <v>586</v>
      </c>
      <c r="P4" s="493" t="s">
        <v>587</v>
      </c>
    </row>
    <row r="5" spans="1:20" ht="47.25" x14ac:dyDescent="0.25">
      <c r="A5" s="506"/>
      <c r="B5" s="4" t="s">
        <v>588</v>
      </c>
      <c r="C5" s="4" t="s">
        <v>589</v>
      </c>
      <c r="D5" s="2" t="s">
        <v>590</v>
      </c>
      <c r="E5" s="2" t="s">
        <v>591</v>
      </c>
      <c r="F5" s="3" t="s">
        <v>592</v>
      </c>
      <c r="G5" s="3" t="s">
        <v>593</v>
      </c>
      <c r="H5" s="2" t="s">
        <v>594</v>
      </c>
      <c r="I5" s="2" t="s">
        <v>595</v>
      </c>
      <c r="J5" s="511"/>
      <c r="K5" s="511"/>
      <c r="L5" s="511"/>
      <c r="M5" s="511"/>
      <c r="N5" s="511"/>
      <c r="O5" s="511"/>
      <c r="P5" s="494"/>
      <c r="R5" s="318" t="s">
        <v>596</v>
      </c>
      <c r="S5" t="s">
        <v>597</v>
      </c>
      <c r="T5" t="s">
        <v>598</v>
      </c>
    </row>
    <row r="6" spans="1:20" ht="15.75" x14ac:dyDescent="0.25">
      <c r="A6" s="51" t="s">
        <v>599</v>
      </c>
      <c r="B6" s="319">
        <f>'КЗ 10 по ТП'!I4</f>
        <v>6.4707776499662835</v>
      </c>
      <c r="C6" s="319">
        <f>'КЗ 10 по ТП'!J4</f>
        <v>3.4610430839002269</v>
      </c>
      <c r="D6" s="320">
        <f t="shared" ref="D6:E9" si="0">B6*POWER(400, 2)/100000</f>
        <v>10.353244239946052</v>
      </c>
      <c r="E6" s="320">
        <f t="shared" si="0"/>
        <v>5.5376689342403633</v>
      </c>
      <c r="F6" s="320">
        <f>$T$9</f>
        <v>5.9107125998055426E-2</v>
      </c>
      <c r="G6" s="17">
        <f>$T$8</f>
        <v>1.03125E-2</v>
      </c>
      <c r="H6" s="320">
        <f>F6*POWER(400, 2)/1000</f>
        <v>9.4571401596888673</v>
      </c>
      <c r="I6" s="320">
        <f>G6*160000/1000</f>
        <v>1.65</v>
      </c>
      <c r="J6" s="320">
        <f>D6+H6</f>
        <v>19.81038439963492</v>
      </c>
      <c r="K6" s="320">
        <f>E6+I6+$Q$6</f>
        <v>22.187668934240364</v>
      </c>
      <c r="L6" s="17">
        <f>SQRT(POWER(J6, 2)+POWER(K6, 2))</f>
        <v>29.744646287975144</v>
      </c>
      <c r="M6" s="320">
        <f>400/(1.73*L6)</f>
        <v>7.7732937414637426</v>
      </c>
      <c r="N6" s="17">
        <f>1.41*M6*P6</f>
        <v>11.55945180549166</v>
      </c>
      <c r="O6" s="17">
        <f>M6*SQRT(1+2*POWER(P6-1, 2))</f>
        <v>7.7964847181104888</v>
      </c>
      <c r="P6" s="17">
        <f>1.02+POWER(2.72, -3/(J6/K6))</f>
        <v>1.0546613884050249</v>
      </c>
      <c r="Q6" s="321">
        <v>15</v>
      </c>
      <c r="R6">
        <v>1600</v>
      </c>
      <c r="S6">
        <v>16.5</v>
      </c>
      <c r="T6">
        <v>6</v>
      </c>
    </row>
    <row r="7" spans="1:20" ht="15.75" x14ac:dyDescent="0.25">
      <c r="A7" s="51" t="s">
        <v>600</v>
      </c>
      <c r="B7" s="319">
        <f>'КЗ 10 по ТП'!I5</f>
        <v>7.1822515728687781</v>
      </c>
      <c r="C7" s="319">
        <f>'КЗ 10 по ТП'!J5</f>
        <v>4.1808616780045353</v>
      </c>
      <c r="D7" s="322">
        <f t="shared" si="0"/>
        <v>11.491602516590044</v>
      </c>
      <c r="E7" s="322">
        <f t="shared" si="0"/>
        <v>6.6893786848072567</v>
      </c>
      <c r="F7" s="320">
        <f>$T$9</f>
        <v>5.9107125998055426E-2</v>
      </c>
      <c r="G7" s="17">
        <f>$T$8</f>
        <v>1.03125E-2</v>
      </c>
      <c r="H7" s="320">
        <f>F7*POWER(400, 2)/1000</f>
        <v>9.4571401596888673</v>
      </c>
      <c r="I7" s="320">
        <f>G7*160000/1000</f>
        <v>1.65</v>
      </c>
      <c r="J7" s="320">
        <f>D7+H7</f>
        <v>20.948742676278911</v>
      </c>
      <c r="K7" s="320">
        <f>E7+I7+$Q$6</f>
        <v>23.339378684807258</v>
      </c>
      <c r="L7" s="17">
        <f>SQRT(POWER(J7, 2)+POWER(K7, 2))</f>
        <v>31.362021891290503</v>
      </c>
      <c r="M7" s="320">
        <f>400/(1.73*L7)</f>
        <v>7.3724160270604235</v>
      </c>
      <c r="N7" s="17">
        <f>1.41*M7*P7</f>
        <v>10.969737830024128</v>
      </c>
      <c r="O7" s="17">
        <f>M7*SQRT(1+2*POWER(P7-1, 2))</f>
        <v>7.3949101133735269</v>
      </c>
      <c r="P7" s="17">
        <f>1.02+POWER(2.72, -3/(J7/K7))</f>
        <v>1.0552790129127594</v>
      </c>
      <c r="T7">
        <f>T6/100</f>
        <v>0.06</v>
      </c>
    </row>
    <row r="8" spans="1:20" ht="15.75" x14ac:dyDescent="0.25">
      <c r="A8" s="51" t="s">
        <v>601</v>
      </c>
      <c r="B8" s="319">
        <f>'КЗ 10 по ТП'!I6</f>
        <v>6.1897799175399797</v>
      </c>
      <c r="C8" s="319">
        <f>'КЗ 10 по ТП'!J6</f>
        <v>3.3710657596371885</v>
      </c>
      <c r="D8" s="320">
        <f t="shared" si="0"/>
        <v>9.9036478680639686</v>
      </c>
      <c r="E8" s="320">
        <f t="shared" si="0"/>
        <v>5.3937052154195015</v>
      </c>
      <c r="F8" s="320">
        <f>$T$9</f>
        <v>5.9107125998055426E-2</v>
      </c>
      <c r="G8" s="17">
        <f>$T$8</f>
        <v>1.03125E-2</v>
      </c>
      <c r="H8" s="320">
        <f>F8*POWER(400, 2)/1000</f>
        <v>9.4571401596888673</v>
      </c>
      <c r="I8" s="320">
        <f>G8*160000/1000</f>
        <v>1.65</v>
      </c>
      <c r="J8" s="320">
        <f>D8+H8</f>
        <v>19.360788027752836</v>
      </c>
      <c r="K8" s="320">
        <f>E8+I8+$Q$6</f>
        <v>22.0437052154195</v>
      </c>
      <c r="L8" s="17">
        <f>SQRT(POWER(J8, 2)+POWER(K8, 2))</f>
        <v>29.338797737465153</v>
      </c>
      <c r="M8" s="320">
        <f>400/(1.73*L8)</f>
        <v>7.8808230283108607</v>
      </c>
      <c r="N8" s="17">
        <f>1.41*M8*P8</f>
        <v>11.698469413031262</v>
      </c>
      <c r="O8" s="17">
        <f>M8*SQRT(1+2*POWER(P8-1, 2))</f>
        <v>7.902747835519512</v>
      </c>
      <c r="P8" s="17">
        <f>1.02+POWER(2.72, -3/(J8/K8))</f>
        <v>1.0527817701206474</v>
      </c>
      <c r="R8" t="s">
        <v>602</v>
      </c>
      <c r="T8">
        <f>S6/R6</f>
        <v>1.03125E-2</v>
      </c>
    </row>
    <row r="9" spans="1:20" ht="15.75" x14ac:dyDescent="0.25">
      <c r="A9" s="8" t="s">
        <v>603</v>
      </c>
      <c r="B9" s="319">
        <f>'КЗ 10 по ТП'!I7</f>
        <v>6.044655200986691</v>
      </c>
      <c r="C9" s="319">
        <f>'КЗ 10 по ТП'!J7</f>
        <v>3.1461224489795918</v>
      </c>
      <c r="D9" s="320">
        <f t="shared" si="0"/>
        <v>9.6714483215787048</v>
      </c>
      <c r="E9" s="320">
        <f t="shared" si="0"/>
        <v>5.0337959183673471</v>
      </c>
      <c r="F9" s="320">
        <f>$T$9</f>
        <v>5.9107125998055426E-2</v>
      </c>
      <c r="G9" s="17">
        <f>$T$8</f>
        <v>1.03125E-2</v>
      </c>
      <c r="H9" s="320">
        <f>F9*POWER(400, 2)/1000</f>
        <v>9.4571401596888673</v>
      </c>
      <c r="I9" s="320">
        <f>G9*160000/1000</f>
        <v>1.65</v>
      </c>
      <c r="J9" s="320">
        <f>D9+H9</f>
        <v>19.12858848126757</v>
      </c>
      <c r="K9" s="320">
        <f>E9+I9+$Q$6</f>
        <v>21.683795918367345</v>
      </c>
      <c r="L9" s="17">
        <f>SQRT(POWER(J9, 2)+POWER(K9, 2))</f>
        <v>28.915219223016219</v>
      </c>
      <c r="M9" s="320">
        <f>400/(1.73*L9)</f>
        <v>7.9962690598702446</v>
      </c>
      <c r="N9" s="17">
        <f>1.41*M9*P9</f>
        <v>11.875423022164254</v>
      </c>
      <c r="O9" s="17">
        <f>M9*SQRT(1+2*POWER(P9-1, 2))</f>
        <v>8.0189338104859544</v>
      </c>
      <c r="P9" s="17">
        <f>1.02+POWER(2.72, -3/(J9/K9))</f>
        <v>1.0532769430671003</v>
      </c>
      <c r="Q9" t="s">
        <v>604</v>
      </c>
      <c r="T9">
        <f>SQRT(POWER(T7, 2)-POWER(T8, 2))</f>
        <v>5.9107125998055426E-2</v>
      </c>
    </row>
    <row r="12" spans="1:20" x14ac:dyDescent="0.25">
      <c r="R12" t="s">
        <v>605</v>
      </c>
    </row>
    <row r="13" spans="1:20" x14ac:dyDescent="0.25">
      <c r="R13">
        <f>J6/K6</f>
        <v>0.89285559732970499</v>
      </c>
    </row>
    <row r="14" spans="1:20" x14ac:dyDescent="0.25">
      <c r="R14">
        <f>J7/K7</f>
        <v>0.89757070910869929</v>
      </c>
    </row>
    <row r="15" spans="1:20" x14ac:dyDescent="0.25">
      <c r="R15">
        <f>J8/K8</f>
        <v>0.87829100591537701</v>
      </c>
    </row>
  </sheetData>
  <mergeCells count="14">
    <mergeCell ref="M4:M5"/>
    <mergeCell ref="N4:N5"/>
    <mergeCell ref="O4:O5"/>
    <mergeCell ref="P4:P5"/>
    <mergeCell ref="A2:P2"/>
    <mergeCell ref="A3:P3"/>
    <mergeCell ref="A4:A5"/>
    <mergeCell ref="B4:C4"/>
    <mergeCell ref="D4:E4"/>
    <mergeCell ref="F4:G4"/>
    <mergeCell ref="H4:I4"/>
    <mergeCell ref="J4:J5"/>
    <mergeCell ref="K4:K5"/>
    <mergeCell ref="L4:L5"/>
  </mergeCells>
  <pageMargins left="0.70000004768371604" right="0.70000004768371604" top="0.75" bottom="0.75" header="0.30000001192092901" footer="0.3000000119209290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"/>
  <sheetViews>
    <sheetView workbookViewId="0">
      <selection activeCell="B6" sqref="B6"/>
    </sheetView>
  </sheetViews>
  <sheetFormatPr defaultColWidth="9.140625" defaultRowHeight="15" x14ac:dyDescent="0.25"/>
  <cols>
    <col min="1" max="1" width="16.7109375" customWidth="1"/>
    <col min="2" max="2" width="13.7109375" customWidth="1"/>
    <col min="3" max="3" width="10.140625" customWidth="1"/>
    <col min="4" max="4" width="12" customWidth="1"/>
    <col min="5" max="5" width="29.28515625" customWidth="1"/>
    <col min="6" max="6" width="12.7109375" customWidth="1"/>
    <col min="7" max="7" width="14.85546875" customWidth="1"/>
    <col min="8" max="8" width="13.5703125" customWidth="1"/>
    <col min="9" max="9" width="12.42578125" customWidth="1"/>
  </cols>
  <sheetData>
    <row r="1" spans="1:10" ht="18.75" x14ac:dyDescent="0.3">
      <c r="A1" s="658" t="s">
        <v>606</v>
      </c>
      <c r="B1" s="658"/>
      <c r="C1" s="658"/>
      <c r="D1" s="658"/>
      <c r="E1" s="658"/>
      <c r="F1" s="658"/>
      <c r="G1" s="658"/>
      <c r="H1" s="658"/>
      <c r="I1" s="658"/>
    </row>
    <row r="2" spans="1:10" ht="18.75" x14ac:dyDescent="0.3">
      <c r="A2" s="659" t="s">
        <v>607</v>
      </c>
      <c r="B2" s="659"/>
      <c r="C2" s="659"/>
      <c r="D2" s="659"/>
      <c r="E2" s="659"/>
      <c r="F2" s="659"/>
      <c r="G2" s="659"/>
      <c r="H2" s="659"/>
      <c r="I2" s="659"/>
    </row>
    <row r="3" spans="1:10" ht="18.75" customHeight="1" x14ac:dyDescent="0.25">
      <c r="A3" s="559" t="s">
        <v>608</v>
      </c>
      <c r="B3" s="559" t="s">
        <v>609</v>
      </c>
      <c r="C3" s="559" t="s">
        <v>610</v>
      </c>
      <c r="D3" s="661"/>
      <c r="E3" s="559" t="s">
        <v>529</v>
      </c>
      <c r="F3" s="638" t="s">
        <v>611</v>
      </c>
      <c r="G3" s="662"/>
      <c r="H3" s="662"/>
      <c r="I3" s="663"/>
    </row>
    <row r="4" spans="1:10" ht="18.75" x14ac:dyDescent="0.3">
      <c r="A4" s="660"/>
      <c r="B4" s="660"/>
      <c r="C4" s="296" t="s">
        <v>612</v>
      </c>
      <c r="D4" s="296" t="s">
        <v>613</v>
      </c>
      <c r="E4" s="660"/>
      <c r="F4" s="296" t="s">
        <v>614</v>
      </c>
      <c r="G4" s="296" t="s">
        <v>615</v>
      </c>
      <c r="H4" s="296" t="s">
        <v>613</v>
      </c>
      <c r="I4" s="296" t="s">
        <v>616</v>
      </c>
    </row>
    <row r="5" spans="1:10" ht="37.5" x14ac:dyDescent="0.3">
      <c r="A5" s="125" t="s">
        <v>617</v>
      </c>
      <c r="B5" s="139">
        <f>'Ф202-90-10кВ'!G17</f>
        <v>1619.1461653908984</v>
      </c>
      <c r="C5" s="141">
        <f>'КЗ 10 по ТП'!H48</f>
        <v>8.1540016139462246</v>
      </c>
      <c r="D5" s="141">
        <f>'КЗ 10 по ТП'!H49</f>
        <v>18.5398513176489</v>
      </c>
      <c r="E5" s="57" t="s">
        <v>727</v>
      </c>
      <c r="F5" s="191">
        <v>2000</v>
      </c>
      <c r="G5" s="191">
        <v>40</v>
      </c>
      <c r="H5" s="191">
        <v>128</v>
      </c>
      <c r="I5" s="191">
        <f>25^2*3</f>
        <v>1875</v>
      </c>
    </row>
    <row r="6" spans="1:10" ht="43.9" customHeight="1" x14ac:dyDescent="0.3">
      <c r="A6" s="125" t="s">
        <v>618</v>
      </c>
      <c r="B6" s="139">
        <f>B5/2</f>
        <v>809.57308269544922</v>
      </c>
      <c r="C6" s="141">
        <f>'КЗ 10 по ТП'!H48</f>
        <v>8.1540016139462246</v>
      </c>
      <c r="D6" s="141">
        <f>'КЗ 10 по ТП'!H49</f>
        <v>18.5398513176489</v>
      </c>
      <c r="E6" s="57" t="s">
        <v>727</v>
      </c>
      <c r="F6" s="191">
        <v>2000</v>
      </c>
      <c r="G6" s="191">
        <v>40</v>
      </c>
      <c r="H6" s="191">
        <v>128</v>
      </c>
      <c r="I6" s="191">
        <f>25^2*3</f>
        <v>1875</v>
      </c>
    </row>
    <row r="7" spans="1:10" ht="18.75" x14ac:dyDescent="0.3">
      <c r="A7" s="296" t="s">
        <v>351</v>
      </c>
      <c r="B7" s="141">
        <f>[2]кабели!D4</f>
        <v>64.17771673907481</v>
      </c>
      <c r="C7" s="141">
        <f>'КЗ 10 по ТП'!L4</f>
        <v>7.8770194822721953</v>
      </c>
      <c r="D7" s="141">
        <f>'КЗ 10 по ТП'!M4</f>
        <v>13.513922534349136</v>
      </c>
      <c r="E7" s="402" t="s">
        <v>705</v>
      </c>
      <c r="F7" s="191">
        <v>630</v>
      </c>
      <c r="G7" s="191">
        <v>20</v>
      </c>
      <c r="H7" s="191">
        <v>51</v>
      </c>
      <c r="I7" s="191">
        <f t="shared" ref="I7:I13" si="0">20^2*3</f>
        <v>1200</v>
      </c>
    </row>
    <row r="8" spans="1:10" ht="18.75" x14ac:dyDescent="0.3">
      <c r="A8" s="296" t="s">
        <v>208</v>
      </c>
      <c r="B8" s="141">
        <f>[2]кабели!D5</f>
        <v>65.004385423000173</v>
      </c>
      <c r="C8" s="141">
        <f>'КЗ 10 по ТП'!L5</f>
        <v>6.955477619627346</v>
      </c>
      <c r="D8" s="141">
        <f>'КЗ 10 по ТП'!M5</f>
        <v>11.677814162554219</v>
      </c>
      <c r="E8" s="402" t="s">
        <v>705</v>
      </c>
      <c r="F8" s="191">
        <v>630</v>
      </c>
      <c r="G8" s="191">
        <v>20</v>
      </c>
      <c r="H8" s="191">
        <v>51</v>
      </c>
      <c r="I8" s="191">
        <f t="shared" si="0"/>
        <v>1200</v>
      </c>
    </row>
    <row r="9" spans="1:10" ht="18.75" x14ac:dyDescent="0.3">
      <c r="A9" s="296" t="s">
        <v>210</v>
      </c>
      <c r="B9" s="141">
        <f>[2]кабели!D6</f>
        <v>65.151341924887362</v>
      </c>
      <c r="C9" s="141">
        <f>'КЗ 10 по ТП'!L6</f>
        <v>8.2011396400455023</v>
      </c>
      <c r="D9" s="141">
        <f>'КЗ 10 по ТП'!M6</f>
        <v>13.769203191360326</v>
      </c>
      <c r="E9" s="402" t="s">
        <v>705</v>
      </c>
      <c r="F9" s="191">
        <v>630</v>
      </c>
      <c r="G9" s="191">
        <v>20</v>
      </c>
      <c r="H9" s="191">
        <v>51</v>
      </c>
      <c r="I9" s="191">
        <f t="shared" si="0"/>
        <v>1200</v>
      </c>
    </row>
    <row r="10" spans="1:10" ht="18.75" x14ac:dyDescent="0.3">
      <c r="A10" s="296" t="s">
        <v>212</v>
      </c>
      <c r="B10" s="141">
        <f>[2]кабели!D7</f>
        <v>66.058423373204505</v>
      </c>
      <c r="C10" s="141">
        <f>'КЗ 10 по ТП'!L7</f>
        <v>8.4825565251360988</v>
      </c>
      <c r="D10" s="141">
        <f>'КЗ 10 по ТП'!M7</f>
        <v>14.48494724399893</v>
      </c>
      <c r="E10" s="402" t="s">
        <v>705</v>
      </c>
      <c r="F10" s="191">
        <v>630</v>
      </c>
      <c r="G10" s="191">
        <v>20</v>
      </c>
      <c r="H10" s="191">
        <v>51</v>
      </c>
      <c r="I10" s="191">
        <f t="shared" si="0"/>
        <v>1200</v>
      </c>
    </row>
    <row r="11" spans="1:10" ht="18.75" x14ac:dyDescent="0.3">
      <c r="A11" s="296" t="s">
        <v>524</v>
      </c>
      <c r="B11" s="141">
        <f>[2]кабели!D9</f>
        <v>66.902162277884827</v>
      </c>
      <c r="C11" s="141">
        <f>'КЗ 10 по ТП'!L9</f>
        <v>7.5541314822554044</v>
      </c>
      <c r="D11" s="141">
        <f>'КЗ 10 по ТП'!M8</f>
        <v>15.280161382588211</v>
      </c>
      <c r="E11" s="402" t="s">
        <v>705</v>
      </c>
      <c r="F11" s="191">
        <v>630</v>
      </c>
      <c r="G11" s="191">
        <v>20</v>
      </c>
      <c r="H11" s="191">
        <v>51</v>
      </c>
      <c r="I11" s="191">
        <f t="shared" si="0"/>
        <v>1200</v>
      </c>
    </row>
    <row r="12" spans="1:10" ht="18.75" customHeight="1" x14ac:dyDescent="0.3">
      <c r="A12" s="403" t="s">
        <v>706</v>
      </c>
      <c r="B12" s="404">
        <f>[2]кабели!D10</f>
        <v>66.902162277884827</v>
      </c>
      <c r="C12" s="404">
        <f>'КЗ 10 по ТП'!L10</f>
        <v>8.1566681739944258</v>
      </c>
      <c r="D12" s="404">
        <f>'КЗ 10 по ТП'!M9</f>
        <v>12.663549757602491</v>
      </c>
      <c r="E12" s="405" t="s">
        <v>705</v>
      </c>
      <c r="F12" s="406">
        <v>630</v>
      </c>
      <c r="G12" s="406">
        <v>20</v>
      </c>
      <c r="H12" s="406">
        <v>51</v>
      </c>
      <c r="I12" s="406">
        <f t="shared" si="0"/>
        <v>1200</v>
      </c>
    </row>
    <row r="13" spans="1:10" ht="18.75" x14ac:dyDescent="0.3">
      <c r="A13" s="407" t="s">
        <v>707</v>
      </c>
      <c r="B13" s="408">
        <f>кабели!D8</f>
        <v>328.15688633807684</v>
      </c>
      <c r="C13" s="408">
        <f>'КЗ 10 по ТП'!L8</f>
        <v>9.7815595576088299</v>
      </c>
      <c r="D13" s="408">
        <f>'КЗ 10 по ТП'!M10</f>
        <v>13.673626613498062</v>
      </c>
      <c r="E13" s="409" t="s">
        <v>705</v>
      </c>
      <c r="F13" s="410">
        <v>630</v>
      </c>
      <c r="G13" s="410">
        <v>20</v>
      </c>
      <c r="H13" s="410">
        <v>51</v>
      </c>
      <c r="I13" s="410">
        <f t="shared" si="0"/>
        <v>1200</v>
      </c>
    </row>
    <row r="15" spans="1:10" ht="18.75" x14ac:dyDescent="0.3">
      <c r="A15" s="535" t="s">
        <v>713</v>
      </c>
      <c r="B15" s="536"/>
      <c r="C15" s="536"/>
      <c r="D15" s="536"/>
      <c r="E15" s="536"/>
      <c r="F15" s="536"/>
      <c r="G15" s="536"/>
      <c r="H15" s="536"/>
      <c r="I15" s="536"/>
      <c r="J15" s="664"/>
    </row>
    <row r="16" spans="1:10" ht="18.75" x14ac:dyDescent="0.3">
      <c r="A16" s="535" t="s">
        <v>714</v>
      </c>
      <c r="B16" s="536"/>
      <c r="C16" s="536"/>
      <c r="D16" s="536"/>
      <c r="E16" s="536"/>
      <c r="F16" s="536"/>
      <c r="G16" s="536"/>
      <c r="H16" s="536"/>
      <c r="I16" s="536"/>
      <c r="J16" s="664"/>
    </row>
    <row r="17" spans="1:10" ht="18.75" x14ac:dyDescent="0.25">
      <c r="A17" s="559" t="s">
        <v>608</v>
      </c>
      <c r="B17" s="559" t="s">
        <v>715</v>
      </c>
      <c r="C17" s="559" t="s">
        <v>610</v>
      </c>
      <c r="D17" s="661"/>
      <c r="E17" s="559" t="s">
        <v>716</v>
      </c>
      <c r="F17" s="638" t="s">
        <v>611</v>
      </c>
      <c r="G17" s="662"/>
      <c r="H17" s="662"/>
      <c r="I17" s="662"/>
      <c r="J17" s="663"/>
    </row>
    <row r="18" spans="1:10" ht="18.75" x14ac:dyDescent="0.3">
      <c r="A18" s="660"/>
      <c r="B18" s="660"/>
      <c r="C18" s="99" t="s">
        <v>612</v>
      </c>
      <c r="D18" s="99" t="s">
        <v>613</v>
      </c>
      <c r="E18" s="660"/>
      <c r="F18" s="414" t="s">
        <v>614</v>
      </c>
      <c r="G18" s="414" t="s">
        <v>613</v>
      </c>
      <c r="H18" s="414" t="s">
        <v>616</v>
      </c>
      <c r="I18" s="414" t="s">
        <v>717</v>
      </c>
      <c r="J18" s="99" t="s">
        <v>718</v>
      </c>
    </row>
    <row r="19" spans="1:10" ht="18.75" x14ac:dyDescent="0.3">
      <c r="A19" s="415" t="s">
        <v>719</v>
      </c>
      <c r="B19" s="416">
        <f>B5</f>
        <v>1619.1461653908984</v>
      </c>
      <c r="C19" s="141">
        <f>C5</f>
        <v>8.1540016139462246</v>
      </c>
      <c r="D19" s="141">
        <f>D5</f>
        <v>18.5398513176489</v>
      </c>
      <c r="E19" s="414" t="s">
        <v>726</v>
      </c>
      <c r="F19" s="414">
        <v>2000</v>
      </c>
      <c r="G19" s="414">
        <v>100</v>
      </c>
      <c r="H19" s="414">
        <v>3675</v>
      </c>
      <c r="I19" s="414">
        <v>50</v>
      </c>
      <c r="J19" s="417">
        <v>1</v>
      </c>
    </row>
    <row r="20" spans="1:10" ht="18.75" x14ac:dyDescent="0.3">
      <c r="A20" s="62" t="s">
        <v>238</v>
      </c>
      <c r="B20" s="416">
        <f t="shared" ref="B20:D27" si="1">B6</f>
        <v>809.57308269544922</v>
      </c>
      <c r="C20" s="141">
        <f t="shared" si="1"/>
        <v>8.1540016139462246</v>
      </c>
      <c r="D20" s="141">
        <f t="shared" si="1"/>
        <v>18.5398513176489</v>
      </c>
      <c r="E20" s="36" t="s">
        <v>720</v>
      </c>
      <c r="F20" s="36">
        <v>800</v>
      </c>
      <c r="G20" s="36">
        <v>52</v>
      </c>
      <c r="H20" s="36">
        <v>18</v>
      </c>
      <c r="I20" s="36">
        <v>30</v>
      </c>
      <c r="J20" s="417">
        <v>1</v>
      </c>
    </row>
    <row r="21" spans="1:10" ht="18.75" x14ac:dyDescent="0.3">
      <c r="A21" s="62" t="s">
        <v>351</v>
      </c>
      <c r="B21" s="416">
        <f t="shared" si="1"/>
        <v>64.17771673907481</v>
      </c>
      <c r="C21" s="141">
        <f t="shared" si="1"/>
        <v>7.8770194822721953</v>
      </c>
      <c r="D21" s="141">
        <f t="shared" si="1"/>
        <v>13.513922534349136</v>
      </c>
      <c r="E21" s="36" t="s">
        <v>720</v>
      </c>
      <c r="F21" s="36">
        <v>150</v>
      </c>
      <c r="G21" s="36">
        <v>52</v>
      </c>
      <c r="H21" s="36">
        <v>18</v>
      </c>
      <c r="I21" s="36">
        <v>30</v>
      </c>
      <c r="J21" s="417">
        <v>1</v>
      </c>
    </row>
    <row r="22" spans="1:10" ht="18.75" x14ac:dyDescent="0.3">
      <c r="A22" s="62" t="s">
        <v>208</v>
      </c>
      <c r="B22" s="416">
        <f t="shared" si="1"/>
        <v>65.004385423000173</v>
      </c>
      <c r="C22" s="141">
        <f t="shared" si="1"/>
        <v>6.955477619627346</v>
      </c>
      <c r="D22" s="141">
        <f t="shared" si="1"/>
        <v>11.677814162554219</v>
      </c>
      <c r="E22" s="36" t="s">
        <v>720</v>
      </c>
      <c r="F22" s="36">
        <v>150</v>
      </c>
      <c r="G22" s="36">
        <v>52</v>
      </c>
      <c r="H22" s="36">
        <v>18</v>
      </c>
      <c r="I22" s="36">
        <v>30</v>
      </c>
      <c r="J22" s="417">
        <v>1</v>
      </c>
    </row>
    <row r="23" spans="1:10" ht="18.75" x14ac:dyDescent="0.3">
      <c r="A23" s="62" t="s">
        <v>210</v>
      </c>
      <c r="B23" s="416">
        <f t="shared" si="1"/>
        <v>65.151341924887362</v>
      </c>
      <c r="C23" s="141">
        <f t="shared" si="1"/>
        <v>8.2011396400455023</v>
      </c>
      <c r="D23" s="141">
        <f t="shared" si="1"/>
        <v>13.769203191360326</v>
      </c>
      <c r="E23" s="36" t="s">
        <v>720</v>
      </c>
      <c r="F23" s="36">
        <v>150</v>
      </c>
      <c r="G23" s="36">
        <v>52</v>
      </c>
      <c r="H23" s="36">
        <v>18</v>
      </c>
      <c r="I23" s="36">
        <v>30</v>
      </c>
      <c r="J23" s="417">
        <v>1</v>
      </c>
    </row>
    <row r="24" spans="1:10" ht="18.75" x14ac:dyDescent="0.3">
      <c r="A24" s="62" t="s">
        <v>212</v>
      </c>
      <c r="B24" s="416">
        <f t="shared" si="1"/>
        <v>66.058423373204505</v>
      </c>
      <c r="C24" s="141">
        <f t="shared" si="1"/>
        <v>8.4825565251360988</v>
      </c>
      <c r="D24" s="141">
        <f t="shared" si="1"/>
        <v>14.48494724399893</v>
      </c>
      <c r="E24" s="36" t="s">
        <v>720</v>
      </c>
      <c r="F24" s="36">
        <v>150</v>
      </c>
      <c r="G24" s="36">
        <v>52</v>
      </c>
      <c r="H24" s="36">
        <v>18</v>
      </c>
      <c r="I24" s="36">
        <v>30</v>
      </c>
      <c r="J24" s="417">
        <v>1</v>
      </c>
    </row>
    <row r="25" spans="1:10" ht="18.75" x14ac:dyDescent="0.3">
      <c r="A25" s="62" t="s">
        <v>721</v>
      </c>
      <c r="B25" s="416">
        <f t="shared" si="1"/>
        <v>66.902162277884827</v>
      </c>
      <c r="C25" s="141">
        <f t="shared" si="1"/>
        <v>7.5541314822554044</v>
      </c>
      <c r="D25" s="141">
        <f t="shared" si="1"/>
        <v>15.280161382588211</v>
      </c>
      <c r="E25" s="36" t="s">
        <v>720</v>
      </c>
      <c r="F25" s="36">
        <v>150</v>
      </c>
      <c r="G25" s="36">
        <v>52</v>
      </c>
      <c r="H25" s="36">
        <v>18</v>
      </c>
      <c r="I25" s="36">
        <v>30</v>
      </c>
      <c r="J25" s="417">
        <v>1</v>
      </c>
    </row>
    <row r="26" spans="1:10" ht="18.75" x14ac:dyDescent="0.3">
      <c r="A26" s="62" t="s">
        <v>722</v>
      </c>
      <c r="B26" s="416">
        <f t="shared" si="1"/>
        <v>66.902162277884827</v>
      </c>
      <c r="C26" s="141">
        <f t="shared" si="1"/>
        <v>8.1566681739944258</v>
      </c>
      <c r="D26" s="141">
        <f t="shared" si="1"/>
        <v>12.663549757602491</v>
      </c>
      <c r="E26" s="36" t="s">
        <v>720</v>
      </c>
      <c r="F26" s="36">
        <v>150</v>
      </c>
      <c r="G26" s="36">
        <v>52</v>
      </c>
      <c r="H26" s="36">
        <v>18</v>
      </c>
      <c r="I26" s="36">
        <v>30</v>
      </c>
      <c r="J26" s="417">
        <v>1</v>
      </c>
    </row>
    <row r="27" spans="1:10" ht="18.75" x14ac:dyDescent="0.3">
      <c r="A27" s="418" t="s">
        <v>723</v>
      </c>
      <c r="B27" s="416">
        <f t="shared" si="1"/>
        <v>328.15688633807684</v>
      </c>
      <c r="C27" s="141">
        <f t="shared" si="1"/>
        <v>9.7815595576088299</v>
      </c>
      <c r="D27" s="141">
        <f t="shared" si="1"/>
        <v>13.673626613498062</v>
      </c>
      <c r="E27" s="36" t="s">
        <v>720</v>
      </c>
      <c r="F27" s="36">
        <v>800</v>
      </c>
      <c r="G27" s="36">
        <v>52</v>
      </c>
      <c r="H27" s="36">
        <v>18</v>
      </c>
      <c r="I27" s="36">
        <v>30</v>
      </c>
      <c r="J27" s="417">
        <v>1</v>
      </c>
    </row>
  </sheetData>
  <mergeCells count="14">
    <mergeCell ref="A15:J15"/>
    <mergeCell ref="A16:J16"/>
    <mergeCell ref="A17:A18"/>
    <mergeCell ref="B17:B18"/>
    <mergeCell ref="C17:D17"/>
    <mergeCell ref="E17:E18"/>
    <mergeCell ref="F17:J17"/>
    <mergeCell ref="A1:I1"/>
    <mergeCell ref="A2:I2"/>
    <mergeCell ref="A3:A4"/>
    <mergeCell ref="B3:B4"/>
    <mergeCell ref="C3:D3"/>
    <mergeCell ref="E3:E4"/>
    <mergeCell ref="F3:I3"/>
  </mergeCells>
  <pageMargins left="0.70000004768371604" right="0.70000004768371604" top="0.75" bottom="0.75" header="0.30000001192092901" footer="0.3000000119209290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3"/>
  <sheetViews>
    <sheetView workbookViewId="0">
      <selection activeCell="L15" sqref="L15"/>
    </sheetView>
  </sheetViews>
  <sheetFormatPr defaultColWidth="9.140625" defaultRowHeight="15" x14ac:dyDescent="0.25"/>
  <cols>
    <col min="1" max="1" width="19.85546875" customWidth="1"/>
    <col min="2" max="2" width="11" bestFit="1" customWidth="1"/>
    <col min="4" max="4" width="13.28515625" customWidth="1"/>
    <col min="5" max="5" width="14.42578125" customWidth="1"/>
    <col min="6" max="6" width="13" customWidth="1"/>
    <col min="7" max="7" width="12.42578125" customWidth="1"/>
    <col min="8" max="8" width="13.28515625" customWidth="1"/>
    <col min="9" max="9" width="11.28515625" customWidth="1"/>
    <col min="10" max="10" width="11.7109375" customWidth="1"/>
    <col min="11" max="11" width="11.5703125" customWidth="1"/>
    <col min="12" max="12" width="11.28515625" customWidth="1"/>
    <col min="13" max="13" width="10.42578125" customWidth="1"/>
    <col min="14" max="14" width="15.28515625" customWidth="1"/>
    <col min="15" max="15" width="11.28515625" customWidth="1"/>
  </cols>
  <sheetData>
    <row r="1" spans="1:19" ht="18.75" x14ac:dyDescent="0.3">
      <c r="A1" s="658" t="s">
        <v>619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</row>
    <row r="2" spans="1:19" ht="18.75" x14ac:dyDescent="0.3">
      <c r="A2" s="658" t="s">
        <v>620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</row>
    <row r="3" spans="1:19" ht="96.75" x14ac:dyDescent="0.25">
      <c r="A3" s="125" t="s">
        <v>621</v>
      </c>
      <c r="B3" s="131" t="s">
        <v>622</v>
      </c>
      <c r="C3" s="131" t="s">
        <v>623</v>
      </c>
      <c r="D3" s="125" t="s">
        <v>624</v>
      </c>
      <c r="E3" s="125" t="s">
        <v>625</v>
      </c>
      <c r="F3" s="131" t="s">
        <v>626</v>
      </c>
      <c r="G3" s="131" t="s">
        <v>613</v>
      </c>
      <c r="H3" s="125" t="s">
        <v>627</v>
      </c>
      <c r="I3" s="125" t="s">
        <v>628</v>
      </c>
      <c r="J3" s="125" t="s">
        <v>629</v>
      </c>
      <c r="K3" s="125" t="s">
        <v>630</v>
      </c>
      <c r="L3" s="125" t="s">
        <v>631</v>
      </c>
      <c r="M3" s="125" t="s">
        <v>632</v>
      </c>
      <c r="N3" s="125" t="s">
        <v>633</v>
      </c>
      <c r="O3" s="125" t="s">
        <v>634</v>
      </c>
      <c r="P3" s="125" t="s">
        <v>635</v>
      </c>
      <c r="R3" s="323" t="s">
        <v>636</v>
      </c>
    </row>
    <row r="4" spans="1:19" ht="18.75" x14ac:dyDescent="0.25">
      <c r="A4" s="411" t="s">
        <v>708</v>
      </c>
      <c r="B4" s="130">
        <f>'[2]Ф-202-90-0,4'!E15</f>
        <v>2220.5489991719887</v>
      </c>
      <c r="C4" s="324">
        <f>B4/(1.73*0.4*2)</f>
        <v>1604.4429184768703</v>
      </c>
      <c r="D4" s="130">
        <f>1.35*C4</f>
        <v>2165.9979399437752</v>
      </c>
      <c r="E4" s="412" t="s">
        <v>709</v>
      </c>
      <c r="F4" s="130">
        <f>'[2]Ток 0,4 кВ'!M6</f>
        <v>5.9044720076104529</v>
      </c>
      <c r="G4" s="130">
        <f>'[2]Ток 0,4 кВ'!O6</f>
        <v>5.9079857035806729</v>
      </c>
      <c r="H4" s="130">
        <f>POWER(F4, 2)*P4</f>
        <v>20.917673813193247</v>
      </c>
      <c r="I4" s="324">
        <f>SQRT(H4)*1000/91</f>
        <v>50.259168689281658</v>
      </c>
      <c r="J4" s="324">
        <f>1.73*POWER(G4, 2)/(0.16*10)</f>
        <v>37.740269048452845</v>
      </c>
      <c r="K4" s="324">
        <f>J4*POWER(1, 2)/10</f>
        <v>3.7740269048452846</v>
      </c>
      <c r="L4" s="130">
        <f>6*POWER(80, 2)/6000</f>
        <v>6.4</v>
      </c>
      <c r="M4" s="130">
        <f>K4/L4</f>
        <v>0.5896917038820757</v>
      </c>
      <c r="N4" s="412">
        <v>40</v>
      </c>
      <c r="O4" s="412" t="str">
        <f>E4</f>
        <v>100х10</v>
      </c>
      <c r="P4" s="412">
        <v>0.6</v>
      </c>
      <c r="R4" t="s">
        <v>638</v>
      </c>
      <c r="S4">
        <v>165</v>
      </c>
    </row>
    <row r="5" spans="1:19" ht="18.75" x14ac:dyDescent="0.3">
      <c r="A5" s="411" t="s">
        <v>710</v>
      </c>
      <c r="B5" s="130">
        <f>'[2]Ф-202-90-0,4'!E26</f>
        <v>2249.1517356358058</v>
      </c>
      <c r="C5" s="324">
        <f>B5/(1.73*0.4*2)</f>
        <v>1625.1096355750042</v>
      </c>
      <c r="D5" s="130">
        <f>1.35*C5</f>
        <v>2193.8980080262559</v>
      </c>
      <c r="E5" s="412" t="s">
        <v>709</v>
      </c>
      <c r="F5" s="325">
        <f>'[2]Ток 0,4 кВ'!M7</f>
        <v>5.6768214047373249</v>
      </c>
      <c r="G5" s="130">
        <f>'[2]Ток 0,4 кВ'!O7</f>
        <v>5.6803854450508293</v>
      </c>
      <c r="H5" s="130">
        <f>POWER(F5, 2)*P5</f>
        <v>19.335780756770315</v>
      </c>
      <c r="I5" s="324">
        <f>SQRT(H5)*1000/91</f>
        <v>48.321395076794403</v>
      </c>
      <c r="J5" s="324">
        <f>1.73*POWER(G5, 2)/(0.16*10)</f>
        <v>34.888454582198364</v>
      </c>
      <c r="K5" s="324">
        <f>J5*POWER(1, 2)/10</f>
        <v>3.4888454582198363</v>
      </c>
      <c r="L5" s="130">
        <f>6*POWER(80, 2)/6000</f>
        <v>6.4</v>
      </c>
      <c r="M5" s="130">
        <f>K5/L5</f>
        <v>0.54513210284684943</v>
      </c>
      <c r="N5" s="412">
        <v>40</v>
      </c>
      <c r="O5" s="412" t="str">
        <f>E5</f>
        <v>100х10</v>
      </c>
      <c r="P5" s="412">
        <v>0.6</v>
      </c>
      <c r="Q5" s="326">
        <v>1625</v>
      </c>
      <c r="R5" s="313" t="s">
        <v>639</v>
      </c>
      <c r="S5">
        <v>215</v>
      </c>
    </row>
    <row r="6" spans="1:19" ht="18.75" x14ac:dyDescent="0.25">
      <c r="A6" s="411" t="s">
        <v>724</v>
      </c>
      <c r="B6" s="130">
        <f>'[2]Ф-202-90-0,4'!E35</f>
        <v>1127.1182153005514</v>
      </c>
      <c r="C6" s="324">
        <f>B6/(1.73*0.4*2)</f>
        <v>814.39177406109195</v>
      </c>
      <c r="D6" s="130">
        <f>1.35*C6</f>
        <v>1099.4288949824743</v>
      </c>
      <c r="E6" s="412" t="s">
        <v>709</v>
      </c>
      <c r="F6" s="325">
        <f>'[2]Ток 0,4 кВ'!M8</f>
        <v>5.9580823245043835</v>
      </c>
      <c r="G6" s="130">
        <f>'[2]Ток 0,4 кВ'!O8</f>
        <v>5.9614906455495102</v>
      </c>
      <c r="H6" s="130">
        <f>POWER(F6, 2)*P6</f>
        <v>21.299246991342933</v>
      </c>
      <c r="I6" s="324">
        <f>SQRT(H6)*1000/91</f>
        <v>50.715502457446703</v>
      </c>
      <c r="J6" s="324">
        <f>1.73*POWER(G6, 2)/(0.16*10)</f>
        <v>38.426944587728478</v>
      </c>
      <c r="K6" s="324">
        <f>J6*POWER(1, 2)/10</f>
        <v>3.842694458772848</v>
      </c>
      <c r="L6" s="130">
        <f>6*POWER(80, 2)/6000</f>
        <v>6.4</v>
      </c>
      <c r="M6" s="130">
        <f>K6/L6</f>
        <v>0.60042100918325747</v>
      </c>
      <c r="N6" s="412">
        <v>40</v>
      </c>
      <c r="O6" s="412" t="str">
        <f>E6</f>
        <v>100х10</v>
      </c>
      <c r="P6" s="412">
        <v>0.6</v>
      </c>
      <c r="R6" s="313" t="s">
        <v>641</v>
      </c>
      <c r="S6">
        <v>265</v>
      </c>
    </row>
    <row r="7" spans="1:19" ht="18.75" x14ac:dyDescent="0.25">
      <c r="A7" s="411" t="s">
        <v>725</v>
      </c>
      <c r="B7" s="130">
        <f>'[2]Ф-202-90-0,4'!E45</f>
        <v>2285.6214487128759</v>
      </c>
      <c r="C7" s="324">
        <f>B7/(1.73*0.4*2)</f>
        <v>1651.4605843301126</v>
      </c>
      <c r="D7" s="130">
        <f>1.35*C7</f>
        <v>2229.4717888456521</v>
      </c>
      <c r="E7" s="412" t="s">
        <v>709</v>
      </c>
      <c r="F7" s="325">
        <f>'[2]Ток 0,4 кВ'!M9</f>
        <v>6.0243770367046263</v>
      </c>
      <c r="G7" s="130">
        <f>'[2]Ток 0,4 кВ'!O9</f>
        <v>6.0278105990912447</v>
      </c>
      <c r="H7" s="130">
        <f>POWER(F7, 2)*P7</f>
        <v>21.775871208224409</v>
      </c>
      <c r="I7" s="324">
        <f>SQRT(H7)*1000/91</f>
        <v>51.279806449299791</v>
      </c>
      <c r="J7" s="324">
        <f>1.73*POWER(G7, 2)/(0.16*10)</f>
        <v>39.28667879377123</v>
      </c>
      <c r="K7" s="324">
        <f>J7*POWER(1, 2)/10</f>
        <v>3.928667879377123</v>
      </c>
      <c r="L7" s="130">
        <f>6*POWER(80, 2)/6000</f>
        <v>6.4</v>
      </c>
      <c r="M7" s="130">
        <f>K7/L7</f>
        <v>0.61385435615267547</v>
      </c>
      <c r="N7" s="412">
        <v>40</v>
      </c>
      <c r="O7" s="412" t="str">
        <f>E7</f>
        <v>100х10</v>
      </c>
      <c r="P7" s="412">
        <v>0.6</v>
      </c>
      <c r="R7" t="s">
        <v>642</v>
      </c>
      <c r="S7" t="s">
        <v>643</v>
      </c>
    </row>
    <row r="8" spans="1:19" ht="18.75" x14ac:dyDescent="0.3">
      <c r="A8" s="411" t="s">
        <v>711</v>
      </c>
      <c r="B8" s="130">
        <f>'Ф202-90-10кВ'!E17</f>
        <v>28011.228661262543</v>
      </c>
      <c r="C8" s="324">
        <f>B8/(1.73*6*2)</f>
        <v>1349.2884711590821</v>
      </c>
      <c r="D8" s="130">
        <f>1.35*C8</f>
        <v>1821.5394360647608</v>
      </c>
      <c r="E8" s="412" t="s">
        <v>709</v>
      </c>
      <c r="F8" s="141">
        <f>'[2]КЗ 10 по ТП'!H48</f>
        <v>8.9764665433520978</v>
      </c>
      <c r="G8" s="141">
        <f>'[2]КЗ 10 по ТП'!H49</f>
        <v>20.409899697218187</v>
      </c>
      <c r="H8" s="130">
        <f>POWER(F8, 2)*P8</f>
        <v>96.692341924703456</v>
      </c>
      <c r="I8" s="324">
        <f>SQRT(H8)*1000/91</f>
        <v>108.0574332414147</v>
      </c>
      <c r="J8" s="324">
        <f>1.73*POWER(G8, 2)/(0.16*10)</f>
        <v>450.40983110961071</v>
      </c>
      <c r="K8" s="324">
        <f>J8*POWER(1, 2)/10</f>
        <v>45.040983110961072</v>
      </c>
      <c r="L8" s="130">
        <f>6*POWER(80, 2)/6000</f>
        <v>6.4</v>
      </c>
      <c r="M8" s="130">
        <f>K8/L8</f>
        <v>7.0376536110876673</v>
      </c>
      <c r="N8" s="412">
        <v>40</v>
      </c>
      <c r="O8" s="412" t="str">
        <f>E8</f>
        <v>100х10</v>
      </c>
      <c r="P8" s="412">
        <v>1.2</v>
      </c>
      <c r="R8" t="s">
        <v>637</v>
      </c>
      <c r="S8">
        <v>480</v>
      </c>
    </row>
    <row r="9" spans="1:19" x14ac:dyDescent="0.25">
      <c r="R9" t="s">
        <v>644</v>
      </c>
      <c r="S9">
        <v>480</v>
      </c>
    </row>
    <row r="10" spans="1:19" ht="15" customHeight="1" x14ac:dyDescent="0.25">
      <c r="M10" s="327"/>
    </row>
    <row r="12" spans="1:19" x14ac:dyDescent="0.25">
      <c r="R12" t="s">
        <v>645</v>
      </c>
      <c r="S12" t="s">
        <v>646</v>
      </c>
    </row>
    <row r="13" spans="1:19" x14ac:dyDescent="0.25">
      <c r="R13" t="s">
        <v>647</v>
      </c>
      <c r="S13" t="s">
        <v>648</v>
      </c>
    </row>
    <row r="14" spans="1:19" x14ac:dyDescent="0.25">
      <c r="R14" t="s">
        <v>640</v>
      </c>
      <c r="S14" t="s">
        <v>649</v>
      </c>
    </row>
    <row r="15" spans="1:19" x14ac:dyDescent="0.25">
      <c r="R15" t="s">
        <v>650</v>
      </c>
      <c r="S15" t="s">
        <v>651</v>
      </c>
    </row>
    <row r="16" spans="1:19" x14ac:dyDescent="0.25">
      <c r="N16">
        <f>4.08*4.08</f>
        <v>16.6464</v>
      </c>
      <c r="O16">
        <f>1.8*N16</f>
        <v>29.963519999999999</v>
      </c>
      <c r="R16" t="s">
        <v>652</v>
      </c>
      <c r="S16" t="s">
        <v>653</v>
      </c>
    </row>
    <row r="17" spans="9:19" x14ac:dyDescent="0.25">
      <c r="R17" t="s">
        <v>654</v>
      </c>
      <c r="S17" t="s">
        <v>655</v>
      </c>
    </row>
    <row r="18" spans="9:19" x14ac:dyDescent="0.25">
      <c r="R18" t="s">
        <v>656</v>
      </c>
      <c r="S18" t="s">
        <v>657</v>
      </c>
    </row>
    <row r="19" spans="9:19" x14ac:dyDescent="0.25">
      <c r="J19">
        <v>92.3</v>
      </c>
      <c r="K19">
        <f>J19/1.4</f>
        <v>65.928571428571431</v>
      </c>
      <c r="R19" t="s">
        <v>658</v>
      </c>
      <c r="S19" t="s">
        <v>659</v>
      </c>
    </row>
    <row r="20" spans="9:19" x14ac:dyDescent="0.25">
      <c r="I20">
        <v>998.31</v>
      </c>
      <c r="J20">
        <f>I20/2</f>
        <v>499.15499999999997</v>
      </c>
      <c r="K20">
        <f>J20*1.35</f>
        <v>673.85924999999997</v>
      </c>
      <c r="R20" t="s">
        <v>660</v>
      </c>
      <c r="S20" t="s">
        <v>661</v>
      </c>
    </row>
    <row r="21" spans="9:19" x14ac:dyDescent="0.25">
      <c r="J21">
        <v>29.1</v>
      </c>
      <c r="K21">
        <v>2.5</v>
      </c>
      <c r="L21">
        <f>J21/K21</f>
        <v>11.64</v>
      </c>
    </row>
    <row r="23" spans="9:19" x14ac:dyDescent="0.25">
      <c r="J23">
        <v>48.33</v>
      </c>
      <c r="K23">
        <v>1.97</v>
      </c>
      <c r="L23">
        <f>SQRT(J23*K23)</f>
        <v>9.7575662949323583</v>
      </c>
      <c r="M23">
        <f>L23/90</f>
        <v>0.1084174032770262</v>
      </c>
    </row>
  </sheetData>
  <mergeCells count="2">
    <mergeCell ref="A1:P1"/>
    <mergeCell ref="A2:P2"/>
  </mergeCells>
  <pageMargins left="0.70000004768371604" right="0.70000004768371604" top="0.75" bottom="0.75" header="0.30000001192092901" footer="0.300000011920929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ЦЕХ</vt:lpstr>
      <vt:lpstr>СВЕТ</vt:lpstr>
      <vt:lpstr>0,4</vt:lpstr>
      <vt:lpstr>Ф-202-90-0,4</vt:lpstr>
      <vt:lpstr>Защ. аппаратура 0,4кВ</vt:lpstr>
      <vt:lpstr>Потери цех тр-ров</vt:lpstr>
      <vt:lpstr>КАРТОГРАММА</vt:lpstr>
      <vt:lpstr>Ф202-90-10кВ</vt:lpstr>
      <vt:lpstr>ТЭР</vt:lpstr>
      <vt:lpstr>Потери ГПП</vt:lpstr>
      <vt:lpstr>кабели</vt:lpstr>
      <vt:lpstr>КЗ 10 по ТП</vt:lpstr>
      <vt:lpstr>Ток 0,4 кВ</vt:lpstr>
      <vt:lpstr>Выключатели 10</vt:lpstr>
      <vt:lpstr>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Алихан Камбар</dc:creator>
  <cp:lastModifiedBy>Sinelnikov, Aleksandr A (Altay - KZ)</cp:lastModifiedBy>
  <cp:lastPrinted>2025-12-11T10:14:06Z</cp:lastPrinted>
  <dcterms:created xsi:type="dcterms:W3CDTF">2024-11-18T06:48:58Z</dcterms:created>
  <dcterms:modified xsi:type="dcterms:W3CDTF">2025-12-12T02:13:22Z</dcterms:modified>
</cp:coreProperties>
</file>